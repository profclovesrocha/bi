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Dados" sheetId="1" r:id="rId5"/>
    <sheet state="visible" name="Resumo_BI" sheetId="2" r:id="rId6"/>
    <sheet state="visible" name="Dicionario_Dados" sheetId="3" r:id="rId7"/>
  </sheets>
  <definedNames/>
  <calcPr/>
</workbook>
</file>

<file path=xl/sharedStrings.xml><?xml version="1.0" encoding="utf-8"?>
<sst xmlns="http://schemas.openxmlformats.org/spreadsheetml/2006/main" count="599" uniqueCount="136">
  <si>
    <t>ID_Paciente</t>
  </si>
  <si>
    <t>Codigo_Anonimo</t>
  </si>
  <si>
    <t>Data_Atividade</t>
  </si>
  <si>
    <t>Faixa_Etaria</t>
  </si>
  <si>
    <t>Ano_Escolar</t>
  </si>
  <si>
    <t>Hospital</t>
  </si>
  <si>
    <t>Ala</t>
  </si>
  <si>
    <t>Quarto</t>
  </si>
  <si>
    <t>Leito</t>
  </si>
  <si>
    <t>Tipo_Atividade</t>
  </si>
  <si>
    <t>Nivel_Dificuldade</t>
  </si>
  <si>
    <t>Tempo_Uso_IA_Minutos</t>
  </si>
  <si>
    <t>Qtd_Atividades_Realizadas</t>
  </si>
  <si>
    <t>Percentual_Acertos</t>
  </si>
  <si>
    <t>Indice_Continuidade_Escolar</t>
  </si>
  <si>
    <t>Taxa_Alfabetizacao_Digital</t>
  </si>
  <si>
    <t>Sentimento_Familia</t>
  </si>
  <si>
    <t>Nivel_Engajamento</t>
  </si>
  <si>
    <t>Evolucao_Pedagogica</t>
  </si>
  <si>
    <t>PAC_001</t>
  </si>
  <si>
    <t>4 a 6 anos</t>
  </si>
  <si>
    <t>Educação Infantil</t>
  </si>
  <si>
    <t>IMIP</t>
  </si>
  <si>
    <t>Pediatria</t>
  </si>
  <si>
    <t>Q19</t>
  </si>
  <si>
    <t>L4</t>
  </si>
  <si>
    <t>Escrita</t>
  </si>
  <si>
    <t>Fácil</t>
  </si>
  <si>
    <t>Positivo</t>
  </si>
  <si>
    <t>Baixo engajamento</t>
  </si>
  <si>
    <t>PAC_002</t>
  </si>
  <si>
    <t>3º Ano</t>
  </si>
  <si>
    <t>Hospital Infantil Parceiro</t>
  </si>
  <si>
    <t>Oncologia</t>
  </si>
  <si>
    <t>Q15</t>
  </si>
  <si>
    <t>L3</t>
  </si>
  <si>
    <t>Sílabas</t>
  </si>
  <si>
    <t>Médio</t>
  </si>
  <si>
    <t>Neutro</t>
  </si>
  <si>
    <t>PAC_003</t>
  </si>
  <si>
    <t>Enfermaria</t>
  </si>
  <si>
    <t>Q02</t>
  </si>
  <si>
    <t>Leitura</t>
  </si>
  <si>
    <t>Difícil</t>
  </si>
  <si>
    <t>PAC_004</t>
  </si>
  <si>
    <t>7 a 9 anos</t>
  </si>
  <si>
    <t>2º Ano</t>
  </si>
  <si>
    <t>Q03</t>
  </si>
  <si>
    <t>L2</t>
  </si>
  <si>
    <t>Interpretação</t>
  </si>
  <si>
    <t>Médio engajamento</t>
  </si>
  <si>
    <t>PAC_005</t>
  </si>
  <si>
    <t>Q18</t>
  </si>
  <si>
    <t>PAC_006</t>
  </si>
  <si>
    <t>1º Ano</t>
  </si>
  <si>
    <t>Q11</t>
  </si>
  <si>
    <t>Jogo Educativo</t>
  </si>
  <si>
    <t>PAC_007</t>
  </si>
  <si>
    <t>Q08</t>
  </si>
  <si>
    <t>PAC_008</t>
  </si>
  <si>
    <t>UTI Pediátrica</t>
  </si>
  <si>
    <t>Q20</t>
  </si>
  <si>
    <t>L1</t>
  </si>
  <si>
    <t>PAC_009</t>
  </si>
  <si>
    <t>Q04</t>
  </si>
  <si>
    <t>PAC_010</t>
  </si>
  <si>
    <t>10 a 12 anos</t>
  </si>
  <si>
    <t>Q05</t>
  </si>
  <si>
    <t>PAC_011</t>
  </si>
  <si>
    <t>PAC_012</t>
  </si>
  <si>
    <t>Q07</t>
  </si>
  <si>
    <t>PAC_013</t>
  </si>
  <si>
    <t>Q01</t>
  </si>
  <si>
    <t>PAC_014</t>
  </si>
  <si>
    <t>Q16</t>
  </si>
  <si>
    <t>PAC_015</t>
  </si>
  <si>
    <t>Q13</t>
  </si>
  <si>
    <t>PAC_016</t>
  </si>
  <si>
    <t>PAC_017</t>
  </si>
  <si>
    <t>Negativo</t>
  </si>
  <si>
    <t>PAC_018</t>
  </si>
  <si>
    <t>Alto engajamento</t>
  </si>
  <si>
    <t>PAC_019</t>
  </si>
  <si>
    <t>PAC_020</t>
  </si>
  <si>
    <t>PAC_021</t>
  </si>
  <si>
    <t>PAC_022</t>
  </si>
  <si>
    <t>Q09</t>
  </si>
  <si>
    <t>PAC_023</t>
  </si>
  <si>
    <t>PAC_024</t>
  </si>
  <si>
    <t>PAC_025</t>
  </si>
  <si>
    <t>PAC_026</t>
  </si>
  <si>
    <t>Q06</t>
  </si>
  <si>
    <t>PAC_027</t>
  </si>
  <si>
    <t>Q12</t>
  </si>
  <si>
    <t>PAC_028</t>
  </si>
  <si>
    <t>PAC_029</t>
  </si>
  <si>
    <t>PAC_030</t>
  </si>
  <si>
    <t>Q22</t>
  </si>
  <si>
    <t>Dashboard / Protótipo de Business Intelligence</t>
  </si>
  <si>
    <t>SAD Alfabetizando com AlegrIA — Indicadores para apoio à decisão hospitalar e pedagógica</t>
  </si>
  <si>
    <t>Indicador</t>
  </si>
  <si>
    <t>Fórmula/Valor</t>
  </si>
  <si>
    <t>Nível de Engajamento</t>
  </si>
  <si>
    <t>Quantidade</t>
  </si>
  <si>
    <t>Sentimento da Família</t>
  </si>
  <si>
    <t>Total de pacientes acompanhados</t>
  </si>
  <si>
    <t>Média de acertos (%)</t>
  </si>
  <si>
    <t>Continuidade escolar média (%)</t>
  </si>
  <si>
    <t>Alfabetização digital média (%)</t>
  </si>
  <si>
    <t>Tempo médio de uso da IA (min)</t>
  </si>
  <si>
    <t>Evolução pedagógica média</t>
  </si>
  <si>
    <t>Tipo de Atividade</t>
  </si>
  <si>
    <t>Média Evolução</t>
  </si>
  <si>
    <t>Pacientes</t>
  </si>
  <si>
    <t>Sentimentos positivos das famílias</t>
  </si>
  <si>
    <t>Campo</t>
  </si>
  <si>
    <t>Descrição</t>
  </si>
  <si>
    <t>Identificador interno do paciente/aluno.</t>
  </si>
  <si>
    <t>Código fictício para preservar a identidade da criança.</t>
  </si>
  <si>
    <t>Data da realização da atividade pedagógica.</t>
  </si>
  <si>
    <t>Faixa de idade do paciente.</t>
  </si>
  <si>
    <t>Etapa ou ano escolar.</t>
  </si>
  <si>
    <t>Hospital onde o projeto está sendo acompanhado.</t>
  </si>
  <si>
    <t>Ala hospitalar do atendimento.</t>
  </si>
  <si>
    <t>Quarto do atendimento, usado apenas como código.</t>
  </si>
  <si>
    <t>Leito do atendimento, usado apenas como código.</t>
  </si>
  <si>
    <t>Tipo de atividade pedagógica realizada.</t>
  </si>
  <si>
    <t>Nível de dificuldade da atividade.</t>
  </si>
  <si>
    <t>Tempo de interação com a ferramenta de IA.</t>
  </si>
  <si>
    <t>Quantidade de atividades realizadas pelo paciente.</t>
  </si>
  <si>
    <t>Resultado obtido nas atividades.</t>
  </si>
  <si>
    <t>Indicador de permanência no processo educacional durante a internação.</t>
  </si>
  <si>
    <t>Indicador de adaptação e uso da tecnologia.</t>
  </si>
  <si>
    <t>Resultado da análise de sentimento da percepção familiar.</t>
  </si>
  <si>
    <t>Classificação BI: baixo, médio ou alto engajamento.</t>
  </si>
  <si>
    <t>Indicador composto de desempenho, continuidade e alfabetização digital.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</si>
</sst>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1.0"/>
      <color rgb="FF000000"/>
      <name val="Carlito"/>
      <scheme val="minor"/>
    </font>
    <font>
      <b/>
      <sz val="11.0"/>
      <color rgb="FFFFFFFF"/>
      <name val="Carlito"/>
    </font>
    <font>
      <color theme="1"/>
      <name val="Carlito"/>
      <scheme val="minor"/>
    </font>
    <font>
      <sz val="11.0"/>
      <color theme="1"/>
      <name val="Carlito"/>
    </font>
    <font>
      <b/>
      <sz val="16.0"/>
      <color rgb="FFFFFFFF"/>
      <name val="Carlito"/>
    </font>
    <font>
      <i/>
      <sz val="11.0"/>
      <color theme="1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5B9BD5"/>
        <bgColor rgb="FF5B9BD5"/>
      </patternFill>
    </fill>
    <fill>
      <patternFill patternType="solid">
        <fgColor rgb="FFEAF2F8"/>
        <bgColor rgb="FFEAF2F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Font="1"/>
    <xf borderId="0" fillId="0" fontId="3" numFmtId="164" xfId="0" applyFont="1" applyNumberFormat="1"/>
    <xf borderId="0" fillId="0" fontId="3" numFmtId="2" xfId="0" applyFont="1" applyNumberFormat="1"/>
    <xf borderId="0" fillId="2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3" fontId="1" numFmtId="0" xfId="0" applyFill="1" applyFont="1"/>
    <xf borderId="0" fillId="0" fontId="3" numFmtId="0" xfId="0" applyFont="1"/>
    <xf borderId="0" fillId="0" fontId="3" numFmtId="2" xfId="0" applyFont="1" applyNumberFormat="1"/>
    <xf borderId="0" fillId="4" fontId="3" numFmtId="0" xfId="0" applyAlignment="1" applyFill="1" applyFont="1">
      <alignment shrinkToFit="0" vertical="top" wrapText="1"/>
    </xf>
    <xf borderId="0" fillId="2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Base_Dad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Pacientes por Nível de Engajamento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Quantidade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Resumo_BI!$D$5:$D$7</c:f>
            </c:strRef>
          </c:cat>
          <c:val>
            <c:numRef>
              <c:f>Resumo_BI!$E$5:$E$7</c:f>
              <c:numCache/>
            </c:numRef>
          </c:val>
        </c:ser>
        <c:axId val="1453609170"/>
        <c:axId val="527952536"/>
      </c:barChart>
      <c:catAx>
        <c:axId val="14536091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7952536"/>
      </c:catAx>
      <c:valAx>
        <c:axId val="5279525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360917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Sentimento das Famílias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156082"/>
              </a:solidFill>
            </c:spPr>
          </c:dPt>
          <c:dPt>
            <c:idx val="1"/>
            <c:spPr>
              <a:solidFill>
                <a:srgbClr val="E97132"/>
              </a:solidFill>
            </c:spPr>
          </c:dPt>
          <c:dPt>
            <c:idx val="2"/>
            <c:spPr>
              <a:solidFill>
                <a:srgbClr val="196B2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Resumo_BI!$G$5:$G$7</c:f>
            </c:strRef>
          </c:cat>
          <c:val>
            <c:numRef>
              <c:f>Resumo_BI!$H$5:$H$7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Evolução Pedagógica por Atividade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Média Evolução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Resumo_BI!$D$11:$D$15</c:f>
            </c:strRef>
          </c:cat>
          <c:val>
            <c:numRef>
              <c:f>Resumo_BI!$E$11:$E$15</c:f>
              <c:numCache/>
            </c:numRef>
          </c:val>
        </c:ser>
        <c:axId val="665923595"/>
        <c:axId val="417511597"/>
      </c:barChart>
      <c:catAx>
        <c:axId val="6659235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7511597"/>
      </c:catAx>
      <c:valAx>
        <c:axId val="4175115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592359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19</xdr:row>
      <xdr:rowOff>0</xdr:rowOff>
    </xdr:from>
    <xdr:ext cx="24041100" cy="32004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36</xdr:row>
      <xdr:rowOff>0</xdr:rowOff>
    </xdr:from>
    <xdr:ext cx="24041100" cy="32004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53</xdr:row>
      <xdr:rowOff>0</xdr:rowOff>
    </xdr:from>
    <xdr:ext cx="24041100" cy="32004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121" displayName="Table_1" name="Table_1" id="1">
  <tableColumns count="19">
    <tableColumn name="ID_Paciente" id="1"/>
    <tableColumn name="Codigo_Anonimo" id="2"/>
    <tableColumn name="Data_Atividade" id="3"/>
    <tableColumn name="Faixa_Etaria" id="4"/>
    <tableColumn name="Ano_Escolar" id="5"/>
    <tableColumn name="Hospital" id="6"/>
    <tableColumn name="Ala" id="7"/>
    <tableColumn name="Quarto" id="8"/>
    <tableColumn name="Leito" id="9"/>
    <tableColumn name="Tipo_Atividade" id="10"/>
    <tableColumn name="Nivel_Dificuldade" id="11"/>
    <tableColumn name="Tempo_Uso_IA_Minutos" id="12"/>
    <tableColumn name="Qtd_Atividades_Realizadas" id="13"/>
    <tableColumn name="Percentual_Acertos" id="14"/>
    <tableColumn name="Indice_Continuidade_Escolar" id="15"/>
    <tableColumn name="Taxa_Alfabetizacao_Digital" id="16"/>
    <tableColumn name="Sentimento_Familia" id="17"/>
    <tableColumn name="Nivel_Engajamento" id="18"/>
    <tableColumn name="Evolucao_Pedagogica" id="19"/>
  </tableColumns>
  <tableStyleInfo name="Base_Da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14.0"/>
    <col customWidth="1" min="3" max="3" width="12.5"/>
    <col customWidth="1" min="4" max="4" width="10.0"/>
    <col customWidth="1" min="5" max="5" width="13.63"/>
    <col customWidth="1" min="6" max="6" width="19.5"/>
    <col customWidth="1" min="7" max="7" width="11.0"/>
    <col customWidth="1" min="8" max="8" width="5.75"/>
    <col customWidth="1" min="9" max="9" width="3.88"/>
    <col customWidth="1" min="10" max="10" width="12.25"/>
    <col customWidth="1" min="11" max="11" width="14.38"/>
    <col customWidth="1" min="12" max="12" width="20.0"/>
    <col customWidth="1" min="13" max="13" width="22.13"/>
    <col customWidth="1" min="14" max="14" width="15.88"/>
    <col customWidth="1" min="15" max="15" width="23.5"/>
    <col customWidth="1" min="16" max="16" width="21.75"/>
    <col customWidth="1" min="17" max="17" width="16.25"/>
    <col customWidth="1" min="18" max="18" width="16.13"/>
    <col customWidth="1" min="19" max="19" width="17.38"/>
    <col customWidth="1" min="20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1.0</v>
      </c>
      <c r="B2" s="2" t="s">
        <v>19</v>
      </c>
      <c r="C2" s="3">
        <v>46035.0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>
        <v>91.0</v>
      </c>
      <c r="M2" s="2">
        <v>2.0</v>
      </c>
      <c r="N2" s="2">
        <v>38.0</v>
      </c>
      <c r="O2" s="4">
        <v>0.83</v>
      </c>
      <c r="P2" s="4">
        <v>0.47</v>
      </c>
      <c r="Q2" s="2" t="s">
        <v>28</v>
      </c>
      <c r="R2" s="2" t="s">
        <v>29</v>
      </c>
      <c r="S2" s="4">
        <v>51.5</v>
      </c>
    </row>
    <row r="3">
      <c r="A3" s="2">
        <v>2.0</v>
      </c>
      <c r="B3" s="2" t="s">
        <v>30</v>
      </c>
      <c r="C3" s="3">
        <v>46028.0</v>
      </c>
      <c r="D3" s="2" t="s">
        <v>20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>
        <v>74.0</v>
      </c>
      <c r="M3" s="2">
        <v>10.0</v>
      </c>
      <c r="N3" s="2">
        <v>38.0</v>
      </c>
      <c r="O3" s="4">
        <v>0.71</v>
      </c>
      <c r="P3" s="4">
        <v>0.8</v>
      </c>
      <c r="Q3" s="2" t="s">
        <v>38</v>
      </c>
      <c r="R3" s="2" t="s">
        <v>29</v>
      </c>
      <c r="S3" s="4">
        <v>56.75</v>
      </c>
    </row>
    <row r="4">
      <c r="A4" s="2">
        <v>3.0</v>
      </c>
      <c r="B4" s="2" t="s">
        <v>39</v>
      </c>
      <c r="C4" s="3">
        <v>46164.0</v>
      </c>
      <c r="D4" s="2" t="s">
        <v>20</v>
      </c>
      <c r="E4" s="2" t="s">
        <v>31</v>
      </c>
      <c r="F4" s="2" t="s">
        <v>32</v>
      </c>
      <c r="G4" s="2" t="s">
        <v>40</v>
      </c>
      <c r="H4" s="2" t="s">
        <v>41</v>
      </c>
      <c r="I4" s="2" t="s">
        <v>25</v>
      </c>
      <c r="J4" s="2" t="s">
        <v>42</v>
      </c>
      <c r="K4" s="2" t="s">
        <v>43</v>
      </c>
      <c r="L4" s="2">
        <v>29.0</v>
      </c>
      <c r="M4" s="2">
        <v>4.0</v>
      </c>
      <c r="N4" s="2">
        <v>78.0</v>
      </c>
      <c r="O4" s="4">
        <v>0.42</v>
      </c>
      <c r="P4" s="4">
        <v>0.57</v>
      </c>
      <c r="Q4" s="2" t="s">
        <v>28</v>
      </c>
      <c r="R4" s="2" t="s">
        <v>29</v>
      </c>
      <c r="S4" s="4">
        <v>63.75</v>
      </c>
    </row>
    <row r="5">
      <c r="A5" s="2">
        <v>4.0</v>
      </c>
      <c r="B5" s="2" t="s">
        <v>44</v>
      </c>
      <c r="C5" s="3">
        <v>46052.0</v>
      </c>
      <c r="D5" s="2" t="s">
        <v>45</v>
      </c>
      <c r="E5" s="2" t="s">
        <v>46</v>
      </c>
      <c r="F5" s="2" t="s">
        <v>22</v>
      </c>
      <c r="G5" s="2" t="s">
        <v>40</v>
      </c>
      <c r="H5" s="2" t="s">
        <v>47</v>
      </c>
      <c r="I5" s="2" t="s">
        <v>48</v>
      </c>
      <c r="J5" s="2" t="s">
        <v>49</v>
      </c>
      <c r="K5" s="2" t="s">
        <v>43</v>
      </c>
      <c r="L5" s="2">
        <v>47.0</v>
      </c>
      <c r="M5" s="2">
        <v>14.0</v>
      </c>
      <c r="N5" s="2">
        <v>81.0</v>
      </c>
      <c r="O5" s="4">
        <v>0.73</v>
      </c>
      <c r="P5" s="4">
        <v>0.79</v>
      </c>
      <c r="Q5" s="2" t="s">
        <v>28</v>
      </c>
      <c r="R5" s="2" t="s">
        <v>50</v>
      </c>
      <c r="S5" s="4">
        <v>78.5</v>
      </c>
    </row>
    <row r="6">
      <c r="A6" s="2">
        <v>5.0</v>
      </c>
      <c r="B6" s="2" t="s">
        <v>51</v>
      </c>
      <c r="C6" s="3">
        <v>46068.0</v>
      </c>
      <c r="D6" s="2" t="s">
        <v>45</v>
      </c>
      <c r="E6" s="2" t="s">
        <v>31</v>
      </c>
      <c r="F6" s="2" t="s">
        <v>22</v>
      </c>
      <c r="G6" s="2" t="s">
        <v>33</v>
      </c>
      <c r="H6" s="2" t="s">
        <v>52</v>
      </c>
      <c r="I6" s="2" t="s">
        <v>48</v>
      </c>
      <c r="J6" s="2" t="s">
        <v>36</v>
      </c>
      <c r="K6" s="2" t="s">
        <v>43</v>
      </c>
      <c r="L6" s="2">
        <v>116.0</v>
      </c>
      <c r="M6" s="2">
        <v>6.0</v>
      </c>
      <c r="N6" s="2">
        <v>55.0</v>
      </c>
      <c r="O6" s="4">
        <v>0.59</v>
      </c>
      <c r="P6" s="4">
        <v>0.45</v>
      </c>
      <c r="Q6" s="2" t="s">
        <v>28</v>
      </c>
      <c r="R6" s="2" t="s">
        <v>50</v>
      </c>
      <c r="S6" s="4">
        <v>53.5</v>
      </c>
    </row>
    <row r="7">
      <c r="A7" s="2">
        <v>6.0</v>
      </c>
      <c r="B7" s="2" t="s">
        <v>53</v>
      </c>
      <c r="C7" s="3">
        <v>46095.0</v>
      </c>
      <c r="D7" s="2" t="s">
        <v>20</v>
      </c>
      <c r="E7" s="2" t="s">
        <v>54</v>
      </c>
      <c r="F7" s="2" t="s">
        <v>22</v>
      </c>
      <c r="G7" s="2" t="s">
        <v>23</v>
      </c>
      <c r="H7" s="2" t="s">
        <v>55</v>
      </c>
      <c r="I7" s="2" t="s">
        <v>25</v>
      </c>
      <c r="J7" s="2" t="s">
        <v>56</v>
      </c>
      <c r="K7" s="2" t="s">
        <v>43</v>
      </c>
      <c r="L7" s="2">
        <v>98.0</v>
      </c>
      <c r="M7" s="2">
        <v>9.0</v>
      </c>
      <c r="N7" s="2">
        <v>63.0</v>
      </c>
      <c r="O7" s="4">
        <v>0.79</v>
      </c>
      <c r="P7" s="4">
        <v>0.89</v>
      </c>
      <c r="Q7" s="2" t="s">
        <v>38</v>
      </c>
      <c r="R7" s="2" t="s">
        <v>50</v>
      </c>
      <c r="S7" s="4">
        <v>73.5</v>
      </c>
    </row>
    <row r="8">
      <c r="A8" s="2">
        <v>7.0</v>
      </c>
      <c r="B8" s="2" t="s">
        <v>57</v>
      </c>
      <c r="C8" s="3">
        <v>46176.0</v>
      </c>
      <c r="D8" s="2" t="s">
        <v>45</v>
      </c>
      <c r="E8" s="2" t="s">
        <v>31</v>
      </c>
      <c r="F8" s="2" t="s">
        <v>32</v>
      </c>
      <c r="G8" s="2" t="s">
        <v>33</v>
      </c>
      <c r="H8" s="2" t="s">
        <v>58</v>
      </c>
      <c r="I8" s="2" t="s">
        <v>35</v>
      </c>
      <c r="J8" s="2" t="s">
        <v>36</v>
      </c>
      <c r="K8" s="2" t="s">
        <v>27</v>
      </c>
      <c r="L8" s="2">
        <v>50.0</v>
      </c>
      <c r="M8" s="2">
        <v>4.0</v>
      </c>
      <c r="N8" s="2">
        <v>98.0</v>
      </c>
      <c r="O8" s="4">
        <v>0.61</v>
      </c>
      <c r="P8" s="4">
        <v>0.94</v>
      </c>
      <c r="Q8" s="2" t="s">
        <v>28</v>
      </c>
      <c r="R8" s="2" t="s">
        <v>50</v>
      </c>
      <c r="S8" s="4">
        <v>87.75</v>
      </c>
    </row>
    <row r="9">
      <c r="A9" s="2">
        <v>8.0</v>
      </c>
      <c r="B9" s="2" t="s">
        <v>59</v>
      </c>
      <c r="C9" s="3">
        <v>46125.0</v>
      </c>
      <c r="D9" s="2" t="s">
        <v>45</v>
      </c>
      <c r="E9" s="2" t="s">
        <v>31</v>
      </c>
      <c r="F9" s="2" t="s">
        <v>22</v>
      </c>
      <c r="G9" s="2" t="s">
        <v>60</v>
      </c>
      <c r="H9" s="2" t="s">
        <v>61</v>
      </c>
      <c r="I9" s="2" t="s">
        <v>62</v>
      </c>
      <c r="J9" s="2" t="s">
        <v>56</v>
      </c>
      <c r="K9" s="2" t="s">
        <v>37</v>
      </c>
      <c r="L9" s="2">
        <v>27.0</v>
      </c>
      <c r="M9" s="2">
        <v>9.0</v>
      </c>
      <c r="N9" s="2">
        <v>98.0</v>
      </c>
      <c r="O9" s="4">
        <v>0.41</v>
      </c>
      <c r="P9" s="4">
        <v>0.33</v>
      </c>
      <c r="Q9" s="2" t="s">
        <v>28</v>
      </c>
      <c r="R9" s="2" t="s">
        <v>29</v>
      </c>
      <c r="S9" s="4">
        <v>67.5</v>
      </c>
    </row>
    <row r="10">
      <c r="A10" s="2">
        <v>9.0</v>
      </c>
      <c r="B10" s="2" t="s">
        <v>63</v>
      </c>
      <c r="C10" s="3">
        <v>46138.0</v>
      </c>
      <c r="D10" s="2" t="s">
        <v>20</v>
      </c>
      <c r="E10" s="2" t="s">
        <v>31</v>
      </c>
      <c r="F10" s="2" t="s">
        <v>32</v>
      </c>
      <c r="G10" s="2" t="s">
        <v>40</v>
      </c>
      <c r="H10" s="2" t="s">
        <v>64</v>
      </c>
      <c r="I10" s="2" t="s">
        <v>35</v>
      </c>
      <c r="J10" s="2" t="s">
        <v>42</v>
      </c>
      <c r="K10" s="2" t="s">
        <v>43</v>
      </c>
      <c r="L10" s="2">
        <v>80.0</v>
      </c>
      <c r="M10" s="2">
        <v>14.0</v>
      </c>
      <c r="N10" s="2">
        <v>36.0</v>
      </c>
      <c r="O10" s="4">
        <v>0.79</v>
      </c>
      <c r="P10" s="4">
        <v>0.38</v>
      </c>
      <c r="Q10" s="2" t="s">
        <v>38</v>
      </c>
      <c r="R10" s="2" t="s">
        <v>29</v>
      </c>
      <c r="S10" s="4">
        <v>47.25</v>
      </c>
    </row>
    <row r="11">
      <c r="A11" s="2">
        <v>10.0</v>
      </c>
      <c r="B11" s="2" t="s">
        <v>65</v>
      </c>
      <c r="C11" s="3">
        <v>46068.0</v>
      </c>
      <c r="D11" s="2" t="s">
        <v>66</v>
      </c>
      <c r="E11" s="2" t="s">
        <v>21</v>
      </c>
      <c r="F11" s="2" t="s">
        <v>32</v>
      </c>
      <c r="G11" s="2" t="s">
        <v>33</v>
      </c>
      <c r="H11" s="2" t="s">
        <v>67</v>
      </c>
      <c r="I11" s="2" t="s">
        <v>35</v>
      </c>
      <c r="J11" s="2" t="s">
        <v>56</v>
      </c>
      <c r="K11" s="2" t="s">
        <v>37</v>
      </c>
      <c r="L11" s="2">
        <v>102.0</v>
      </c>
      <c r="M11" s="2">
        <v>5.0</v>
      </c>
      <c r="N11" s="2">
        <v>99.0</v>
      </c>
      <c r="O11" s="4">
        <v>0.85</v>
      </c>
      <c r="P11" s="4">
        <v>0.66</v>
      </c>
      <c r="Q11" s="2" t="s">
        <v>28</v>
      </c>
      <c r="R11" s="2" t="s">
        <v>50</v>
      </c>
      <c r="S11" s="4">
        <v>87.25</v>
      </c>
    </row>
    <row r="12">
      <c r="A12" s="2">
        <v>11.0</v>
      </c>
      <c r="B12" s="2" t="s">
        <v>68</v>
      </c>
      <c r="C12" s="3">
        <v>46172.0</v>
      </c>
      <c r="D12" s="2" t="s">
        <v>20</v>
      </c>
      <c r="E12" s="2" t="s">
        <v>21</v>
      </c>
      <c r="F12" s="2" t="s">
        <v>32</v>
      </c>
      <c r="G12" s="2" t="s">
        <v>33</v>
      </c>
      <c r="H12" s="2" t="s">
        <v>41</v>
      </c>
      <c r="I12" s="2" t="s">
        <v>48</v>
      </c>
      <c r="J12" s="2" t="s">
        <v>49</v>
      </c>
      <c r="K12" s="2" t="s">
        <v>27</v>
      </c>
      <c r="L12" s="2">
        <v>72.0</v>
      </c>
      <c r="M12" s="2">
        <v>1.0</v>
      </c>
      <c r="N12" s="2">
        <v>49.0</v>
      </c>
      <c r="O12" s="4">
        <v>0.95</v>
      </c>
      <c r="P12" s="4">
        <v>0.92</v>
      </c>
      <c r="Q12" s="2" t="s">
        <v>38</v>
      </c>
      <c r="R12" s="2" t="s">
        <v>29</v>
      </c>
      <c r="S12" s="4">
        <v>71.25</v>
      </c>
    </row>
    <row r="13">
      <c r="A13" s="2">
        <v>12.0</v>
      </c>
      <c r="B13" s="2" t="s">
        <v>69</v>
      </c>
      <c r="C13" s="3">
        <v>46106.0</v>
      </c>
      <c r="D13" s="2" t="s">
        <v>45</v>
      </c>
      <c r="E13" s="2" t="s">
        <v>46</v>
      </c>
      <c r="F13" s="2" t="s">
        <v>32</v>
      </c>
      <c r="G13" s="2" t="s">
        <v>60</v>
      </c>
      <c r="H13" s="2" t="s">
        <v>70</v>
      </c>
      <c r="I13" s="2" t="s">
        <v>48</v>
      </c>
      <c r="J13" s="2" t="s">
        <v>49</v>
      </c>
      <c r="K13" s="2" t="s">
        <v>43</v>
      </c>
      <c r="L13" s="2">
        <v>107.0</v>
      </c>
      <c r="M13" s="2">
        <v>9.0</v>
      </c>
      <c r="N13" s="2">
        <v>51.0</v>
      </c>
      <c r="O13" s="4">
        <v>0.43</v>
      </c>
      <c r="P13" s="4">
        <v>0.63</v>
      </c>
      <c r="Q13" s="2" t="s">
        <v>28</v>
      </c>
      <c r="R13" s="2" t="s">
        <v>50</v>
      </c>
      <c r="S13" s="4">
        <v>52.0</v>
      </c>
    </row>
    <row r="14">
      <c r="A14" s="2">
        <v>13.0</v>
      </c>
      <c r="B14" s="2" t="s">
        <v>71</v>
      </c>
      <c r="C14" s="3">
        <v>46042.0</v>
      </c>
      <c r="D14" s="2" t="s">
        <v>20</v>
      </c>
      <c r="E14" s="2" t="s">
        <v>21</v>
      </c>
      <c r="F14" s="2" t="s">
        <v>22</v>
      </c>
      <c r="G14" s="2" t="s">
        <v>33</v>
      </c>
      <c r="H14" s="2" t="s">
        <v>72</v>
      </c>
      <c r="I14" s="2" t="s">
        <v>62</v>
      </c>
      <c r="J14" s="2" t="s">
        <v>42</v>
      </c>
      <c r="K14" s="2" t="s">
        <v>37</v>
      </c>
      <c r="L14" s="2">
        <v>67.0</v>
      </c>
      <c r="M14" s="2">
        <v>2.0</v>
      </c>
      <c r="N14" s="2">
        <v>66.0</v>
      </c>
      <c r="O14" s="4">
        <v>0.5</v>
      </c>
      <c r="P14" s="4">
        <v>0.54</v>
      </c>
      <c r="Q14" s="2" t="s">
        <v>28</v>
      </c>
      <c r="R14" s="2" t="s">
        <v>29</v>
      </c>
      <c r="S14" s="4">
        <v>59.0</v>
      </c>
    </row>
    <row r="15">
      <c r="A15" s="2">
        <v>14.0</v>
      </c>
      <c r="B15" s="2" t="s">
        <v>73</v>
      </c>
      <c r="C15" s="3">
        <v>46075.0</v>
      </c>
      <c r="D15" s="2" t="s">
        <v>20</v>
      </c>
      <c r="E15" s="2" t="s">
        <v>21</v>
      </c>
      <c r="F15" s="2" t="s">
        <v>32</v>
      </c>
      <c r="G15" s="2" t="s">
        <v>33</v>
      </c>
      <c r="H15" s="2" t="s">
        <v>74</v>
      </c>
      <c r="I15" s="2" t="s">
        <v>25</v>
      </c>
      <c r="J15" s="2" t="s">
        <v>49</v>
      </c>
      <c r="K15" s="2" t="s">
        <v>37</v>
      </c>
      <c r="L15" s="2">
        <v>19.0</v>
      </c>
      <c r="M15" s="2">
        <v>9.0</v>
      </c>
      <c r="N15" s="2">
        <v>65.0</v>
      </c>
      <c r="O15" s="4">
        <v>0.53</v>
      </c>
      <c r="P15" s="4">
        <v>0.64</v>
      </c>
      <c r="Q15" s="2" t="s">
        <v>28</v>
      </c>
      <c r="R15" s="2" t="s">
        <v>29</v>
      </c>
      <c r="S15" s="4">
        <v>61.75</v>
      </c>
    </row>
    <row r="16">
      <c r="A16" s="2">
        <v>15.0</v>
      </c>
      <c r="B16" s="2" t="s">
        <v>75</v>
      </c>
      <c r="C16" s="3">
        <v>46054.0</v>
      </c>
      <c r="D16" s="2" t="s">
        <v>20</v>
      </c>
      <c r="E16" s="2" t="s">
        <v>54</v>
      </c>
      <c r="F16" s="2" t="s">
        <v>22</v>
      </c>
      <c r="G16" s="2" t="s">
        <v>23</v>
      </c>
      <c r="H16" s="2" t="s">
        <v>76</v>
      </c>
      <c r="I16" s="2" t="s">
        <v>35</v>
      </c>
      <c r="J16" s="2" t="s">
        <v>26</v>
      </c>
      <c r="K16" s="2" t="s">
        <v>43</v>
      </c>
      <c r="L16" s="2">
        <v>64.0</v>
      </c>
      <c r="M16" s="2">
        <v>7.0</v>
      </c>
      <c r="N16" s="2">
        <v>94.0</v>
      </c>
      <c r="O16" s="4">
        <v>0.91</v>
      </c>
      <c r="P16" s="4">
        <v>0.34</v>
      </c>
      <c r="Q16" s="2" t="s">
        <v>38</v>
      </c>
      <c r="R16" s="2" t="s">
        <v>50</v>
      </c>
      <c r="S16" s="4">
        <v>78.25</v>
      </c>
    </row>
    <row r="17">
      <c r="A17" s="2">
        <v>16.0</v>
      </c>
      <c r="B17" s="2" t="s">
        <v>77</v>
      </c>
      <c r="C17" s="3">
        <v>46039.0</v>
      </c>
      <c r="D17" s="2" t="s">
        <v>66</v>
      </c>
      <c r="E17" s="2" t="s">
        <v>21</v>
      </c>
      <c r="F17" s="2" t="s">
        <v>22</v>
      </c>
      <c r="G17" s="2" t="s">
        <v>60</v>
      </c>
      <c r="H17" s="2" t="s">
        <v>52</v>
      </c>
      <c r="I17" s="2" t="s">
        <v>62</v>
      </c>
      <c r="J17" s="2" t="s">
        <v>42</v>
      </c>
      <c r="K17" s="2" t="s">
        <v>27</v>
      </c>
      <c r="L17" s="2">
        <v>67.0</v>
      </c>
      <c r="M17" s="2">
        <v>3.0</v>
      </c>
      <c r="N17" s="2">
        <v>89.0</v>
      </c>
      <c r="O17" s="4">
        <v>0.47</v>
      </c>
      <c r="P17" s="4">
        <v>0.62</v>
      </c>
      <c r="Q17" s="2" t="s">
        <v>38</v>
      </c>
      <c r="R17" s="2" t="s">
        <v>29</v>
      </c>
      <c r="S17" s="4">
        <v>71.75</v>
      </c>
    </row>
    <row r="18">
      <c r="A18" s="2">
        <v>17.0</v>
      </c>
      <c r="B18" s="2" t="s">
        <v>78</v>
      </c>
      <c r="C18" s="3">
        <v>46094.0</v>
      </c>
      <c r="D18" s="2" t="s">
        <v>45</v>
      </c>
      <c r="E18" s="2" t="s">
        <v>46</v>
      </c>
      <c r="F18" s="2" t="s">
        <v>22</v>
      </c>
      <c r="G18" s="2" t="s">
        <v>60</v>
      </c>
      <c r="H18" s="2" t="s">
        <v>72</v>
      </c>
      <c r="I18" s="2" t="s">
        <v>25</v>
      </c>
      <c r="J18" s="2" t="s">
        <v>49</v>
      </c>
      <c r="K18" s="2" t="s">
        <v>43</v>
      </c>
      <c r="L18" s="2">
        <v>31.0</v>
      </c>
      <c r="M18" s="2">
        <v>7.0</v>
      </c>
      <c r="N18" s="2">
        <v>97.0</v>
      </c>
      <c r="O18" s="4">
        <v>0.66</v>
      </c>
      <c r="P18" s="4">
        <v>0.91</v>
      </c>
      <c r="Q18" s="2" t="s">
        <v>79</v>
      </c>
      <c r="R18" s="2" t="s">
        <v>29</v>
      </c>
      <c r="S18" s="4">
        <v>87.75</v>
      </c>
    </row>
    <row r="19">
      <c r="A19" s="2">
        <v>18.0</v>
      </c>
      <c r="B19" s="2" t="s">
        <v>80</v>
      </c>
      <c r="C19" s="3">
        <v>46176.0</v>
      </c>
      <c r="D19" s="2" t="s">
        <v>45</v>
      </c>
      <c r="E19" s="2" t="s">
        <v>54</v>
      </c>
      <c r="F19" s="2" t="s">
        <v>22</v>
      </c>
      <c r="G19" s="2" t="s">
        <v>40</v>
      </c>
      <c r="H19" s="2" t="s">
        <v>41</v>
      </c>
      <c r="I19" s="2" t="s">
        <v>62</v>
      </c>
      <c r="J19" s="2" t="s">
        <v>42</v>
      </c>
      <c r="K19" s="2" t="s">
        <v>43</v>
      </c>
      <c r="L19" s="2">
        <v>103.0</v>
      </c>
      <c r="M19" s="2">
        <v>13.0</v>
      </c>
      <c r="N19" s="2">
        <v>97.0</v>
      </c>
      <c r="O19" s="4">
        <v>0.45</v>
      </c>
      <c r="P19" s="4">
        <v>0.51</v>
      </c>
      <c r="Q19" s="2" t="s">
        <v>79</v>
      </c>
      <c r="R19" s="2" t="s">
        <v>81</v>
      </c>
      <c r="S19" s="4">
        <v>72.5</v>
      </c>
    </row>
    <row r="20">
      <c r="A20" s="2">
        <v>19.0</v>
      </c>
      <c r="B20" s="2" t="s">
        <v>82</v>
      </c>
      <c r="C20" s="3">
        <v>46175.0</v>
      </c>
      <c r="D20" s="2" t="s">
        <v>66</v>
      </c>
      <c r="E20" s="2" t="s">
        <v>21</v>
      </c>
      <c r="F20" s="2" t="s">
        <v>32</v>
      </c>
      <c r="G20" s="2" t="s">
        <v>23</v>
      </c>
      <c r="H20" s="2" t="s">
        <v>24</v>
      </c>
      <c r="I20" s="2" t="s">
        <v>48</v>
      </c>
      <c r="J20" s="2" t="s">
        <v>56</v>
      </c>
      <c r="K20" s="2" t="s">
        <v>27</v>
      </c>
      <c r="L20" s="2">
        <v>20.0</v>
      </c>
      <c r="M20" s="2">
        <v>14.0</v>
      </c>
      <c r="N20" s="2">
        <v>58.0</v>
      </c>
      <c r="O20" s="4">
        <v>0.39</v>
      </c>
      <c r="P20" s="4">
        <v>0.35</v>
      </c>
      <c r="Q20" s="2" t="s">
        <v>38</v>
      </c>
      <c r="R20" s="2" t="s">
        <v>29</v>
      </c>
      <c r="S20" s="4">
        <v>47.5</v>
      </c>
    </row>
    <row r="21" ht="15.75" customHeight="1">
      <c r="A21" s="2">
        <v>20.0</v>
      </c>
      <c r="B21" s="2" t="s">
        <v>83</v>
      </c>
      <c r="C21" s="3">
        <v>46103.0</v>
      </c>
      <c r="D21" s="2" t="s">
        <v>45</v>
      </c>
      <c r="E21" s="2" t="s">
        <v>46</v>
      </c>
      <c r="F21" s="2" t="s">
        <v>22</v>
      </c>
      <c r="G21" s="2" t="s">
        <v>40</v>
      </c>
      <c r="H21" s="2" t="s">
        <v>76</v>
      </c>
      <c r="I21" s="2" t="s">
        <v>48</v>
      </c>
      <c r="J21" s="2" t="s">
        <v>42</v>
      </c>
      <c r="K21" s="2" t="s">
        <v>27</v>
      </c>
      <c r="L21" s="2">
        <v>63.0</v>
      </c>
      <c r="M21" s="2">
        <v>11.0</v>
      </c>
      <c r="N21" s="2">
        <v>75.0</v>
      </c>
      <c r="O21" s="4">
        <v>0.96</v>
      </c>
      <c r="P21" s="4">
        <v>0.44</v>
      </c>
      <c r="Q21" s="2" t="s">
        <v>38</v>
      </c>
      <c r="R21" s="2" t="s">
        <v>50</v>
      </c>
      <c r="S21" s="4">
        <v>72.5</v>
      </c>
    </row>
    <row r="22" ht="15.75" customHeight="1">
      <c r="A22" s="2">
        <v>21.0</v>
      </c>
      <c r="B22" s="2" t="s">
        <v>84</v>
      </c>
      <c r="C22" s="3">
        <v>46099.0</v>
      </c>
      <c r="D22" s="2" t="s">
        <v>20</v>
      </c>
      <c r="E22" s="2" t="s">
        <v>31</v>
      </c>
      <c r="F22" s="2" t="s">
        <v>32</v>
      </c>
      <c r="G22" s="2" t="s">
        <v>23</v>
      </c>
      <c r="H22" s="2" t="s">
        <v>58</v>
      </c>
      <c r="I22" s="2" t="s">
        <v>35</v>
      </c>
      <c r="J22" s="2" t="s">
        <v>56</v>
      </c>
      <c r="K22" s="2" t="s">
        <v>43</v>
      </c>
      <c r="L22" s="2">
        <v>68.0</v>
      </c>
      <c r="M22" s="2">
        <v>10.0</v>
      </c>
      <c r="N22" s="2">
        <v>47.0</v>
      </c>
      <c r="O22" s="4">
        <v>0.4</v>
      </c>
      <c r="P22" s="4">
        <v>0.45</v>
      </c>
      <c r="Q22" s="2" t="s">
        <v>28</v>
      </c>
      <c r="R22" s="2" t="s">
        <v>29</v>
      </c>
      <c r="S22" s="4">
        <v>44.75</v>
      </c>
    </row>
    <row r="23" ht="15.75" customHeight="1">
      <c r="A23" s="2">
        <v>22.0</v>
      </c>
      <c r="B23" s="2" t="s">
        <v>85</v>
      </c>
      <c r="C23" s="3">
        <v>46054.0</v>
      </c>
      <c r="D23" s="2" t="s">
        <v>66</v>
      </c>
      <c r="E23" s="2" t="s">
        <v>54</v>
      </c>
      <c r="F23" s="2" t="s">
        <v>22</v>
      </c>
      <c r="G23" s="2" t="s">
        <v>33</v>
      </c>
      <c r="H23" s="2" t="s">
        <v>86</v>
      </c>
      <c r="I23" s="2" t="s">
        <v>62</v>
      </c>
      <c r="J23" s="2" t="s">
        <v>36</v>
      </c>
      <c r="K23" s="2" t="s">
        <v>37</v>
      </c>
      <c r="L23" s="2">
        <v>48.0</v>
      </c>
      <c r="M23" s="2">
        <v>10.0</v>
      </c>
      <c r="N23" s="2">
        <v>36.0</v>
      </c>
      <c r="O23" s="4">
        <v>0.78</v>
      </c>
      <c r="P23" s="4">
        <v>0.69</v>
      </c>
      <c r="Q23" s="2" t="s">
        <v>79</v>
      </c>
      <c r="R23" s="2" t="s">
        <v>29</v>
      </c>
      <c r="S23" s="4">
        <v>54.75</v>
      </c>
    </row>
    <row r="24" ht="15.75" customHeight="1">
      <c r="A24" s="2">
        <v>23.0</v>
      </c>
      <c r="B24" s="2" t="s">
        <v>87</v>
      </c>
      <c r="C24" s="3">
        <v>46135.0</v>
      </c>
      <c r="D24" s="2" t="s">
        <v>45</v>
      </c>
      <c r="E24" s="2" t="s">
        <v>21</v>
      </c>
      <c r="F24" s="2" t="s">
        <v>32</v>
      </c>
      <c r="G24" s="2" t="s">
        <v>40</v>
      </c>
      <c r="H24" s="2" t="s">
        <v>41</v>
      </c>
      <c r="I24" s="2" t="s">
        <v>62</v>
      </c>
      <c r="J24" s="2" t="s">
        <v>42</v>
      </c>
      <c r="K24" s="2" t="s">
        <v>37</v>
      </c>
      <c r="L24" s="2">
        <v>87.0</v>
      </c>
      <c r="M24" s="2">
        <v>4.0</v>
      </c>
      <c r="N24" s="2">
        <v>78.0</v>
      </c>
      <c r="O24" s="4">
        <v>0.48</v>
      </c>
      <c r="P24" s="4">
        <v>0.74</v>
      </c>
      <c r="Q24" s="2" t="s">
        <v>28</v>
      </c>
      <c r="R24" s="2" t="s">
        <v>50</v>
      </c>
      <c r="S24" s="4">
        <v>69.5</v>
      </c>
    </row>
    <row r="25" ht="15.75" customHeight="1">
      <c r="A25" s="2">
        <v>24.0</v>
      </c>
      <c r="B25" s="2" t="s">
        <v>88</v>
      </c>
      <c r="C25" s="3">
        <v>46166.0</v>
      </c>
      <c r="D25" s="2" t="s">
        <v>20</v>
      </c>
      <c r="E25" s="2" t="s">
        <v>46</v>
      </c>
      <c r="F25" s="2" t="s">
        <v>22</v>
      </c>
      <c r="G25" s="2" t="s">
        <v>23</v>
      </c>
      <c r="H25" s="2" t="s">
        <v>47</v>
      </c>
      <c r="I25" s="2" t="s">
        <v>48</v>
      </c>
      <c r="J25" s="2" t="s">
        <v>56</v>
      </c>
      <c r="K25" s="2" t="s">
        <v>43</v>
      </c>
      <c r="L25" s="2">
        <v>108.0</v>
      </c>
      <c r="M25" s="2">
        <v>3.0</v>
      </c>
      <c r="N25" s="2">
        <v>68.0</v>
      </c>
      <c r="O25" s="4">
        <v>0.46</v>
      </c>
      <c r="P25" s="4">
        <v>0.61</v>
      </c>
      <c r="Q25" s="2" t="s">
        <v>38</v>
      </c>
      <c r="R25" s="2" t="s">
        <v>29</v>
      </c>
      <c r="S25" s="4">
        <v>60.75</v>
      </c>
    </row>
    <row r="26" ht="15.75" customHeight="1">
      <c r="A26" s="2">
        <v>25.0</v>
      </c>
      <c r="B26" s="2" t="s">
        <v>89</v>
      </c>
      <c r="C26" s="3">
        <v>46053.0</v>
      </c>
      <c r="D26" s="2" t="s">
        <v>45</v>
      </c>
      <c r="E26" s="2" t="s">
        <v>31</v>
      </c>
      <c r="F26" s="2" t="s">
        <v>22</v>
      </c>
      <c r="G26" s="2" t="s">
        <v>40</v>
      </c>
      <c r="H26" s="2" t="s">
        <v>70</v>
      </c>
      <c r="I26" s="2" t="s">
        <v>48</v>
      </c>
      <c r="J26" s="2" t="s">
        <v>56</v>
      </c>
      <c r="K26" s="2" t="s">
        <v>43</v>
      </c>
      <c r="L26" s="2">
        <v>28.0</v>
      </c>
      <c r="M26" s="2">
        <v>7.0</v>
      </c>
      <c r="N26" s="2">
        <v>51.0</v>
      </c>
      <c r="O26" s="4">
        <v>0.38</v>
      </c>
      <c r="P26" s="4">
        <v>0.56</v>
      </c>
      <c r="Q26" s="2" t="s">
        <v>79</v>
      </c>
      <c r="R26" s="2" t="s">
        <v>29</v>
      </c>
      <c r="S26" s="4">
        <v>49.0</v>
      </c>
    </row>
    <row r="27" ht="15.75" customHeight="1">
      <c r="A27" s="2">
        <v>26.0</v>
      </c>
      <c r="B27" s="2" t="s">
        <v>90</v>
      </c>
      <c r="C27" s="3">
        <v>46132.0</v>
      </c>
      <c r="D27" s="2" t="s">
        <v>66</v>
      </c>
      <c r="E27" s="2" t="s">
        <v>54</v>
      </c>
      <c r="F27" s="2" t="s">
        <v>32</v>
      </c>
      <c r="G27" s="2" t="s">
        <v>23</v>
      </c>
      <c r="H27" s="2" t="s">
        <v>91</v>
      </c>
      <c r="I27" s="2" t="s">
        <v>35</v>
      </c>
      <c r="J27" s="2" t="s">
        <v>36</v>
      </c>
      <c r="K27" s="2" t="s">
        <v>27</v>
      </c>
      <c r="L27" s="2">
        <v>29.0</v>
      </c>
      <c r="M27" s="2">
        <v>15.0</v>
      </c>
      <c r="N27" s="2">
        <v>65.0</v>
      </c>
      <c r="O27" s="4">
        <v>0.91</v>
      </c>
      <c r="P27" s="4">
        <v>0.98</v>
      </c>
      <c r="Q27" s="2" t="s">
        <v>38</v>
      </c>
      <c r="R27" s="2" t="s">
        <v>29</v>
      </c>
      <c r="S27" s="4">
        <v>79.75</v>
      </c>
    </row>
    <row r="28" ht="15.75" customHeight="1">
      <c r="A28" s="2">
        <v>27.0</v>
      </c>
      <c r="B28" s="2" t="s">
        <v>92</v>
      </c>
      <c r="C28" s="3">
        <v>46085.0</v>
      </c>
      <c r="D28" s="2" t="s">
        <v>20</v>
      </c>
      <c r="E28" s="2" t="s">
        <v>21</v>
      </c>
      <c r="F28" s="2" t="s">
        <v>22</v>
      </c>
      <c r="G28" s="2" t="s">
        <v>60</v>
      </c>
      <c r="H28" s="2" t="s">
        <v>93</v>
      </c>
      <c r="I28" s="2" t="s">
        <v>35</v>
      </c>
      <c r="J28" s="2" t="s">
        <v>26</v>
      </c>
      <c r="K28" s="2" t="s">
        <v>37</v>
      </c>
      <c r="L28" s="2">
        <v>110.0</v>
      </c>
      <c r="M28" s="2">
        <v>12.0</v>
      </c>
      <c r="N28" s="2">
        <v>48.0</v>
      </c>
      <c r="O28" s="4">
        <v>0.6</v>
      </c>
      <c r="P28" s="4">
        <v>0.33</v>
      </c>
      <c r="Q28" s="2" t="s">
        <v>28</v>
      </c>
      <c r="R28" s="2" t="s">
        <v>29</v>
      </c>
      <c r="S28" s="4">
        <v>47.25</v>
      </c>
    </row>
    <row r="29" ht="15.75" customHeight="1">
      <c r="A29" s="2">
        <v>28.0</v>
      </c>
      <c r="B29" s="2" t="s">
        <v>94</v>
      </c>
      <c r="C29" s="3">
        <v>46093.0</v>
      </c>
      <c r="D29" s="2" t="s">
        <v>20</v>
      </c>
      <c r="E29" s="2" t="s">
        <v>46</v>
      </c>
      <c r="F29" s="2" t="s">
        <v>32</v>
      </c>
      <c r="G29" s="2" t="s">
        <v>40</v>
      </c>
      <c r="H29" s="2" t="s">
        <v>72</v>
      </c>
      <c r="I29" s="2" t="s">
        <v>62</v>
      </c>
      <c r="J29" s="2" t="s">
        <v>42</v>
      </c>
      <c r="K29" s="2" t="s">
        <v>27</v>
      </c>
      <c r="L29" s="2">
        <v>52.0</v>
      </c>
      <c r="M29" s="2">
        <v>5.0</v>
      </c>
      <c r="N29" s="2">
        <v>43.0</v>
      </c>
      <c r="O29" s="4">
        <v>0.98</v>
      </c>
      <c r="P29" s="4">
        <v>0.5</v>
      </c>
      <c r="Q29" s="2" t="s">
        <v>28</v>
      </c>
      <c r="R29" s="2" t="s">
        <v>29</v>
      </c>
      <c r="S29" s="4">
        <v>58.5</v>
      </c>
    </row>
    <row r="30" ht="15.75" customHeight="1">
      <c r="A30" s="2">
        <v>29.0</v>
      </c>
      <c r="B30" s="2" t="s">
        <v>95</v>
      </c>
      <c r="C30" s="3">
        <v>46092.0</v>
      </c>
      <c r="D30" s="2" t="s">
        <v>20</v>
      </c>
      <c r="E30" s="2" t="s">
        <v>31</v>
      </c>
      <c r="F30" s="2" t="s">
        <v>22</v>
      </c>
      <c r="G30" s="2" t="s">
        <v>60</v>
      </c>
      <c r="H30" s="2" t="s">
        <v>24</v>
      </c>
      <c r="I30" s="2" t="s">
        <v>48</v>
      </c>
      <c r="J30" s="2" t="s">
        <v>42</v>
      </c>
      <c r="K30" s="2" t="s">
        <v>43</v>
      </c>
      <c r="L30" s="2">
        <v>86.0</v>
      </c>
      <c r="M30" s="2">
        <v>7.0</v>
      </c>
      <c r="N30" s="2">
        <v>79.0</v>
      </c>
      <c r="O30" s="4">
        <v>0.82</v>
      </c>
      <c r="P30" s="4">
        <v>0.52</v>
      </c>
      <c r="Q30" s="2" t="s">
        <v>28</v>
      </c>
      <c r="R30" s="2" t="s">
        <v>50</v>
      </c>
      <c r="S30" s="4">
        <v>73.0</v>
      </c>
    </row>
    <row r="31" ht="15.75" customHeight="1">
      <c r="A31" s="2">
        <v>30.0</v>
      </c>
      <c r="B31" s="2" t="s">
        <v>96</v>
      </c>
      <c r="C31" s="3">
        <v>46103.0</v>
      </c>
      <c r="D31" s="2" t="s">
        <v>66</v>
      </c>
      <c r="E31" s="2" t="s">
        <v>46</v>
      </c>
      <c r="F31" s="2" t="s">
        <v>32</v>
      </c>
      <c r="G31" s="2" t="s">
        <v>40</v>
      </c>
      <c r="H31" s="2" t="s">
        <v>97</v>
      </c>
      <c r="I31" s="2" t="s">
        <v>62</v>
      </c>
      <c r="J31" s="2" t="s">
        <v>49</v>
      </c>
      <c r="K31" s="2" t="s">
        <v>37</v>
      </c>
      <c r="L31" s="2">
        <v>113.0</v>
      </c>
      <c r="M31" s="2">
        <v>9.0</v>
      </c>
      <c r="N31" s="2">
        <v>60.0</v>
      </c>
      <c r="O31" s="4">
        <v>0.59</v>
      </c>
      <c r="P31" s="4">
        <v>0.35</v>
      </c>
      <c r="Q31" s="2" t="s">
        <v>38</v>
      </c>
      <c r="R31" s="2" t="s">
        <v>50</v>
      </c>
      <c r="S31" s="4">
        <v>53.5</v>
      </c>
    </row>
    <row r="32" ht="15.75" customHeight="1">
      <c r="A32" s="2"/>
      <c r="B32" s="2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>
        <v>72.0</v>
      </c>
      <c r="O32" s="4">
        <v>0.71</v>
      </c>
      <c r="P32" s="4">
        <v>0.43</v>
      </c>
      <c r="Q32" s="2" t="s">
        <v>38</v>
      </c>
      <c r="R32" s="2" t="s">
        <v>50</v>
      </c>
      <c r="S32" s="4">
        <v>64.5</v>
      </c>
    </row>
    <row r="33" ht="15.75" customHeight="1">
      <c r="A33" s="2"/>
      <c r="B33" s="2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>
        <v>76.0</v>
      </c>
      <c r="O33" s="4">
        <v>0.65</v>
      </c>
      <c r="P33" s="4">
        <v>0.61</v>
      </c>
      <c r="Q33" s="2" t="s">
        <v>28</v>
      </c>
      <c r="R33" s="2" t="s">
        <v>50</v>
      </c>
      <c r="S33" s="4">
        <v>69.5</v>
      </c>
    </row>
    <row r="34" ht="15.75" customHeight="1">
      <c r="A34" s="2"/>
      <c r="B34" s="2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>
        <v>63.0</v>
      </c>
      <c r="O34" s="4">
        <v>0.87</v>
      </c>
      <c r="P34" s="4">
        <v>0.4</v>
      </c>
      <c r="Q34" s="2" t="s">
        <v>28</v>
      </c>
      <c r="R34" s="2" t="s">
        <v>50</v>
      </c>
      <c r="S34" s="4">
        <v>63.25</v>
      </c>
    </row>
    <row r="35" ht="15.75" customHeight="1">
      <c r="A35" s="2"/>
      <c r="B35" s="2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>
        <v>35.0</v>
      </c>
      <c r="O35" s="4">
        <v>0.93</v>
      </c>
      <c r="P35" s="4">
        <v>0.9</v>
      </c>
      <c r="Q35" s="2" t="s">
        <v>38</v>
      </c>
      <c r="R35" s="2" t="s">
        <v>29</v>
      </c>
      <c r="S35" s="4">
        <v>63.25</v>
      </c>
    </row>
    <row r="36" ht="15.75" customHeight="1">
      <c r="A36" s="2"/>
      <c r="B36" s="2"/>
      <c r="C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>
        <v>94.0</v>
      </c>
      <c r="O36" s="4">
        <v>0.78</v>
      </c>
      <c r="P36" s="4">
        <v>0.99</v>
      </c>
      <c r="Q36" s="2" t="s">
        <v>28</v>
      </c>
      <c r="R36" s="2" t="s">
        <v>29</v>
      </c>
      <c r="S36" s="4">
        <v>91.25</v>
      </c>
    </row>
    <row r="37" ht="15.75" customHeight="1">
      <c r="A37" s="2"/>
      <c r="B37" s="2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>
        <v>70.0</v>
      </c>
      <c r="O37" s="4">
        <v>0.85</v>
      </c>
      <c r="P37" s="4">
        <v>0.66</v>
      </c>
      <c r="Q37" s="2" t="s">
        <v>28</v>
      </c>
      <c r="R37" s="2" t="s">
        <v>50</v>
      </c>
      <c r="S37" s="4">
        <v>72.75</v>
      </c>
    </row>
    <row r="38" ht="15.75" customHeight="1">
      <c r="A38" s="2"/>
      <c r="B38" s="2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>
        <v>54.0</v>
      </c>
      <c r="O38" s="4">
        <v>0.5</v>
      </c>
      <c r="P38" s="4">
        <v>0.79</v>
      </c>
      <c r="Q38" s="2" t="s">
        <v>38</v>
      </c>
      <c r="R38" s="2" t="s">
        <v>29</v>
      </c>
      <c r="S38" s="4">
        <v>59.25</v>
      </c>
    </row>
    <row r="39" ht="15.75" customHeight="1">
      <c r="A39" s="2"/>
      <c r="B39" s="2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>
        <v>84.0</v>
      </c>
      <c r="O39" s="4">
        <v>0.94</v>
      </c>
      <c r="P39" s="4">
        <v>0.71</v>
      </c>
      <c r="Q39" s="2" t="s">
        <v>38</v>
      </c>
      <c r="R39" s="2" t="s">
        <v>50</v>
      </c>
      <c r="S39" s="4">
        <v>83.25</v>
      </c>
    </row>
    <row r="40" ht="15.75" customHeight="1">
      <c r="A40" s="2"/>
      <c r="B40" s="2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>
        <v>63.0</v>
      </c>
      <c r="O40" s="4">
        <v>0.67</v>
      </c>
      <c r="P40" s="4">
        <v>0.49</v>
      </c>
      <c r="Q40" s="2" t="s">
        <v>28</v>
      </c>
      <c r="R40" s="2" t="s">
        <v>50</v>
      </c>
      <c r="S40" s="4">
        <v>60.5</v>
      </c>
    </row>
    <row r="41" ht="15.75" customHeight="1">
      <c r="A41" s="2"/>
      <c r="B41" s="2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>
        <v>85.0</v>
      </c>
      <c r="O41" s="4">
        <v>0.73</v>
      </c>
      <c r="P41" s="4">
        <v>0.76</v>
      </c>
      <c r="Q41" s="2" t="s">
        <v>28</v>
      </c>
      <c r="R41" s="2" t="s">
        <v>29</v>
      </c>
      <c r="S41" s="4">
        <v>79.75</v>
      </c>
    </row>
    <row r="42" ht="15.75" customHeight="1">
      <c r="A42" s="2"/>
      <c r="B42" s="2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>
        <v>78.0</v>
      </c>
      <c r="O42" s="4">
        <v>0.84</v>
      </c>
      <c r="P42" s="4">
        <v>0.57</v>
      </c>
      <c r="Q42" s="2" t="s">
        <v>38</v>
      </c>
      <c r="R42" s="2" t="s">
        <v>50</v>
      </c>
      <c r="S42" s="4">
        <v>74.25</v>
      </c>
    </row>
    <row r="43" ht="15.75" customHeight="1">
      <c r="A43" s="2"/>
      <c r="B43" s="2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>
        <v>40.0</v>
      </c>
      <c r="O43" s="4">
        <v>0.84</v>
      </c>
      <c r="P43" s="4">
        <v>0.96</v>
      </c>
      <c r="Q43" s="2" t="s">
        <v>28</v>
      </c>
      <c r="R43" s="2" t="s">
        <v>29</v>
      </c>
      <c r="S43" s="4">
        <v>65.0</v>
      </c>
    </row>
    <row r="44" ht="15.75" customHeight="1">
      <c r="A44" s="2"/>
      <c r="B44" s="2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>
        <v>67.0</v>
      </c>
      <c r="O44" s="4">
        <v>0.85</v>
      </c>
      <c r="P44" s="4">
        <v>0.42</v>
      </c>
      <c r="Q44" s="2" t="s">
        <v>28</v>
      </c>
      <c r="R44" s="2" t="s">
        <v>50</v>
      </c>
      <c r="S44" s="4">
        <v>65.25</v>
      </c>
    </row>
    <row r="45" ht="15.75" customHeight="1">
      <c r="A45" s="2"/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>
        <v>60.0</v>
      </c>
      <c r="O45" s="4">
        <v>0.4</v>
      </c>
      <c r="P45" s="4">
        <v>0.78</v>
      </c>
      <c r="Q45" s="2" t="s">
        <v>28</v>
      </c>
      <c r="R45" s="2" t="s">
        <v>50</v>
      </c>
      <c r="S45" s="4">
        <v>59.5</v>
      </c>
    </row>
    <row r="46" ht="15.75" customHeight="1">
      <c r="A46" s="2"/>
      <c r="B46" s="2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>
        <v>43.0</v>
      </c>
      <c r="O46" s="4">
        <v>0.68</v>
      </c>
      <c r="P46" s="4">
        <v>0.54</v>
      </c>
      <c r="Q46" s="2" t="s">
        <v>38</v>
      </c>
      <c r="R46" s="2" t="s">
        <v>29</v>
      </c>
      <c r="S46" s="4">
        <v>52.0</v>
      </c>
    </row>
    <row r="47" ht="15.75" customHeight="1">
      <c r="A47" s="2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>
        <v>69.0</v>
      </c>
      <c r="O47" s="4">
        <v>0.75</v>
      </c>
      <c r="P47" s="4">
        <v>0.94</v>
      </c>
      <c r="Q47" s="2" t="s">
        <v>38</v>
      </c>
      <c r="R47" s="2" t="s">
        <v>50</v>
      </c>
      <c r="S47" s="4">
        <v>76.75</v>
      </c>
    </row>
    <row r="48" ht="15.75" customHeight="1">
      <c r="A48" s="2"/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>
        <v>94.0</v>
      </c>
      <c r="O48" s="4">
        <v>0.72</v>
      </c>
      <c r="P48" s="4">
        <v>0.77</v>
      </c>
      <c r="Q48" s="2" t="s">
        <v>28</v>
      </c>
      <c r="R48" s="2" t="s">
        <v>50</v>
      </c>
      <c r="S48" s="4">
        <v>84.25</v>
      </c>
    </row>
    <row r="49" ht="15.75" customHeight="1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>
        <v>70.0</v>
      </c>
      <c r="O49" s="4">
        <v>0.71</v>
      </c>
      <c r="P49" s="4">
        <v>0.66</v>
      </c>
      <c r="Q49" s="2" t="s">
        <v>28</v>
      </c>
      <c r="R49" s="2" t="s">
        <v>81</v>
      </c>
      <c r="S49" s="4">
        <v>69.25</v>
      </c>
    </row>
    <row r="50" ht="15.75" customHeight="1">
      <c r="A50" s="2"/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>
        <v>63.0</v>
      </c>
      <c r="O50" s="4">
        <v>0.61</v>
      </c>
      <c r="P50" s="4">
        <v>0.47</v>
      </c>
      <c r="Q50" s="2" t="s">
        <v>38</v>
      </c>
      <c r="R50" s="2" t="s">
        <v>29</v>
      </c>
      <c r="S50" s="4">
        <v>58.5</v>
      </c>
    </row>
    <row r="51" ht="15.75" customHeight="1">
      <c r="A51" s="2"/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>
        <v>74.0</v>
      </c>
      <c r="O51" s="4">
        <v>0.51</v>
      </c>
      <c r="P51" s="4">
        <v>0.38</v>
      </c>
      <c r="Q51" s="2" t="s">
        <v>28</v>
      </c>
      <c r="R51" s="2" t="s">
        <v>50</v>
      </c>
      <c r="S51" s="4">
        <v>59.25</v>
      </c>
    </row>
    <row r="52" ht="15.75" customHeight="1">
      <c r="A52" s="2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>
        <v>81.0</v>
      </c>
      <c r="O52" s="4">
        <v>0.47</v>
      </c>
      <c r="P52" s="4">
        <v>0.31</v>
      </c>
      <c r="Q52" s="2" t="s">
        <v>28</v>
      </c>
      <c r="R52" s="2" t="s">
        <v>50</v>
      </c>
      <c r="S52" s="4">
        <v>60.0</v>
      </c>
    </row>
    <row r="53" ht="15.75" customHeight="1">
      <c r="A53" s="2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>
        <v>95.0</v>
      </c>
      <c r="O53" s="4">
        <v>0.66</v>
      </c>
      <c r="P53" s="4">
        <v>0.54</v>
      </c>
      <c r="Q53" s="2" t="s">
        <v>79</v>
      </c>
      <c r="R53" s="2" t="s">
        <v>50</v>
      </c>
      <c r="S53" s="4">
        <v>77.5</v>
      </c>
    </row>
    <row r="54" ht="15.75" customHeight="1">
      <c r="A54" s="2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>
        <v>54.0</v>
      </c>
      <c r="O54" s="4">
        <v>0.45</v>
      </c>
      <c r="P54" s="4">
        <v>0.69</v>
      </c>
      <c r="Q54" s="2" t="s">
        <v>28</v>
      </c>
      <c r="R54" s="2" t="s">
        <v>29</v>
      </c>
      <c r="S54" s="4">
        <v>55.5</v>
      </c>
    </row>
    <row r="55" ht="15.75" customHeight="1">
      <c r="A55" s="2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>
        <v>89.0</v>
      </c>
      <c r="O55" s="4">
        <v>0.55</v>
      </c>
      <c r="P55" s="4">
        <v>0.73</v>
      </c>
      <c r="Q55" s="2" t="s">
        <v>28</v>
      </c>
      <c r="R55" s="2" t="s">
        <v>50</v>
      </c>
      <c r="S55" s="4">
        <v>76.5</v>
      </c>
    </row>
    <row r="56" ht="15.75" customHeight="1">
      <c r="A56" s="2"/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>
        <v>44.0</v>
      </c>
      <c r="O56" s="4">
        <v>0.45</v>
      </c>
      <c r="P56" s="4">
        <v>0.59</v>
      </c>
      <c r="Q56" s="2" t="s">
        <v>38</v>
      </c>
      <c r="R56" s="2" t="s">
        <v>29</v>
      </c>
      <c r="S56" s="4">
        <v>48.0</v>
      </c>
    </row>
    <row r="57" ht="15.75" customHeight="1">
      <c r="A57" s="2"/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>
        <v>68.0</v>
      </c>
      <c r="O57" s="4">
        <v>0.86</v>
      </c>
      <c r="P57" s="4">
        <v>0.74</v>
      </c>
      <c r="Q57" s="2" t="s">
        <v>38</v>
      </c>
      <c r="R57" s="2" t="s">
        <v>50</v>
      </c>
      <c r="S57" s="4">
        <v>74.0</v>
      </c>
    </row>
    <row r="58" ht="15.75" customHeight="1">
      <c r="A58" s="2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>
        <v>74.0</v>
      </c>
      <c r="O58" s="4">
        <v>0.74</v>
      </c>
      <c r="P58" s="4">
        <v>0.88</v>
      </c>
      <c r="Q58" s="2" t="s">
        <v>79</v>
      </c>
      <c r="R58" s="2" t="s">
        <v>29</v>
      </c>
      <c r="S58" s="4">
        <v>77.5</v>
      </c>
    </row>
    <row r="59" ht="15.75" customHeight="1">
      <c r="A59" s="2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>
        <v>90.0</v>
      </c>
      <c r="O59" s="4">
        <v>0.83</v>
      </c>
      <c r="P59" s="4">
        <v>0.72</v>
      </c>
      <c r="Q59" s="2" t="s">
        <v>28</v>
      </c>
      <c r="R59" s="2" t="s">
        <v>29</v>
      </c>
      <c r="S59" s="4">
        <v>83.75</v>
      </c>
    </row>
    <row r="60" ht="15.75" customHeight="1">
      <c r="A60" s="2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>
        <v>70.0</v>
      </c>
      <c r="O60" s="4">
        <v>0.47</v>
      </c>
      <c r="P60" s="4">
        <v>0.71</v>
      </c>
      <c r="Q60" s="2" t="s">
        <v>28</v>
      </c>
      <c r="R60" s="2" t="s">
        <v>81</v>
      </c>
      <c r="S60" s="4">
        <v>64.5</v>
      </c>
    </row>
    <row r="61" ht="15.75" customHeight="1">
      <c r="A61" s="2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>
        <v>98.0</v>
      </c>
      <c r="O61" s="4">
        <v>0.54</v>
      </c>
      <c r="P61" s="4">
        <v>0.96</v>
      </c>
      <c r="Q61" s="2" t="s">
        <v>38</v>
      </c>
      <c r="R61" s="2" t="s">
        <v>50</v>
      </c>
      <c r="S61" s="4">
        <v>86.5</v>
      </c>
    </row>
    <row r="62" ht="15.75" customHeight="1">
      <c r="A62" s="2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>
        <v>94.0</v>
      </c>
      <c r="O62" s="4">
        <v>0.62</v>
      </c>
      <c r="P62" s="4">
        <v>0.43</v>
      </c>
      <c r="Q62" s="2" t="s">
        <v>28</v>
      </c>
      <c r="R62" s="2" t="s">
        <v>29</v>
      </c>
      <c r="S62" s="4">
        <v>73.25</v>
      </c>
    </row>
    <row r="63" ht="15.75" customHeight="1">
      <c r="A63" s="2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>
        <v>50.0</v>
      </c>
      <c r="O63" s="4">
        <v>0.37</v>
      </c>
      <c r="P63" s="4">
        <v>0.74</v>
      </c>
      <c r="Q63" s="2" t="s">
        <v>38</v>
      </c>
      <c r="R63" s="2" t="s">
        <v>50</v>
      </c>
      <c r="S63" s="4">
        <v>52.75</v>
      </c>
    </row>
    <row r="64" ht="15.75" customHeight="1">
      <c r="A64" s="2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>
        <v>54.0</v>
      </c>
      <c r="O64" s="4">
        <v>0.67</v>
      </c>
      <c r="P64" s="4">
        <v>0.8</v>
      </c>
      <c r="Q64" s="2" t="s">
        <v>28</v>
      </c>
      <c r="R64" s="2" t="s">
        <v>29</v>
      </c>
      <c r="S64" s="4">
        <v>63.75</v>
      </c>
    </row>
    <row r="65" ht="15.75" customHeight="1">
      <c r="A65" s="2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>
        <v>52.0</v>
      </c>
      <c r="O65" s="4">
        <v>0.91</v>
      </c>
      <c r="P65" s="4">
        <v>0.49</v>
      </c>
      <c r="Q65" s="2" t="s">
        <v>38</v>
      </c>
      <c r="R65" s="2" t="s">
        <v>50</v>
      </c>
      <c r="S65" s="4">
        <v>61.0</v>
      </c>
    </row>
    <row r="66" ht="15.75" customHeight="1">
      <c r="A66" s="2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>
        <v>54.0</v>
      </c>
      <c r="O66" s="4">
        <v>0.64</v>
      </c>
      <c r="P66" s="4">
        <v>0.64</v>
      </c>
      <c r="Q66" s="2" t="s">
        <v>28</v>
      </c>
      <c r="R66" s="2" t="s">
        <v>50</v>
      </c>
      <c r="S66" s="4">
        <v>59.0</v>
      </c>
    </row>
    <row r="67" ht="15.75" customHeight="1">
      <c r="A67" s="2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>
        <v>95.0</v>
      </c>
      <c r="O67" s="4">
        <v>0.81</v>
      </c>
      <c r="P67" s="4">
        <v>0.87</v>
      </c>
      <c r="Q67" s="2" t="s">
        <v>28</v>
      </c>
      <c r="R67" s="2" t="s">
        <v>29</v>
      </c>
      <c r="S67" s="4">
        <v>89.5</v>
      </c>
    </row>
    <row r="68" ht="15.75" customHeight="1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>
        <v>93.0</v>
      </c>
      <c r="O68" s="4">
        <v>0.36</v>
      </c>
      <c r="P68" s="4">
        <v>0.4</v>
      </c>
      <c r="Q68" s="2" t="s">
        <v>38</v>
      </c>
      <c r="R68" s="2" t="s">
        <v>29</v>
      </c>
      <c r="S68" s="4">
        <v>65.5</v>
      </c>
    </row>
    <row r="69" ht="15.75" customHeight="1">
      <c r="A69" s="2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>
        <v>83.0</v>
      </c>
      <c r="O69" s="4">
        <v>0.97</v>
      </c>
      <c r="P69" s="4">
        <v>0.74</v>
      </c>
      <c r="Q69" s="2" t="s">
        <v>38</v>
      </c>
      <c r="R69" s="2" t="s">
        <v>81</v>
      </c>
      <c r="S69" s="4">
        <v>84.25</v>
      </c>
    </row>
    <row r="70" ht="15.75" customHeight="1">
      <c r="A70" s="2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>
        <v>47.0</v>
      </c>
      <c r="O70" s="4">
        <v>0.84</v>
      </c>
      <c r="P70" s="4">
        <v>0.79</v>
      </c>
      <c r="Q70" s="2" t="s">
        <v>28</v>
      </c>
      <c r="R70" s="2" t="s">
        <v>29</v>
      </c>
      <c r="S70" s="4">
        <v>64.25</v>
      </c>
    </row>
    <row r="71" ht="15.75" customHeight="1">
      <c r="A71" s="2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>
        <v>66.0</v>
      </c>
      <c r="O71" s="4">
        <v>0.7</v>
      </c>
      <c r="P71" s="4">
        <v>0.7</v>
      </c>
      <c r="Q71" s="2" t="s">
        <v>38</v>
      </c>
      <c r="R71" s="2" t="s">
        <v>29</v>
      </c>
      <c r="S71" s="4">
        <v>68.0</v>
      </c>
    </row>
    <row r="72" ht="15.75" customHeight="1">
      <c r="A72" s="2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>
        <v>93.0</v>
      </c>
      <c r="O72" s="4">
        <v>0.52</v>
      </c>
      <c r="P72" s="4">
        <v>0.31</v>
      </c>
      <c r="Q72" s="2" t="s">
        <v>38</v>
      </c>
      <c r="R72" s="2" t="s">
        <v>50</v>
      </c>
      <c r="S72" s="4">
        <v>67.25</v>
      </c>
    </row>
    <row r="73" ht="15.75" customHeight="1">
      <c r="A73" s="2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>
        <v>73.0</v>
      </c>
      <c r="O73" s="4">
        <v>0.48</v>
      </c>
      <c r="P73" s="4">
        <v>0.57</v>
      </c>
      <c r="Q73" s="2" t="s">
        <v>28</v>
      </c>
      <c r="R73" s="2" t="s">
        <v>50</v>
      </c>
      <c r="S73" s="4">
        <v>62.75</v>
      </c>
    </row>
    <row r="74" ht="15.75" customHeight="1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>
        <v>36.0</v>
      </c>
      <c r="O74" s="4">
        <v>0.72</v>
      </c>
      <c r="P74" s="4">
        <v>0.78</v>
      </c>
      <c r="Q74" s="2" t="s">
        <v>38</v>
      </c>
      <c r="R74" s="2" t="s">
        <v>29</v>
      </c>
      <c r="S74" s="4">
        <v>55.5</v>
      </c>
    </row>
    <row r="75" ht="15.75" customHeight="1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>
        <v>52.0</v>
      </c>
      <c r="O75" s="4">
        <v>0.76</v>
      </c>
      <c r="P75" s="4">
        <v>0.93</v>
      </c>
      <c r="Q75" s="2" t="s">
        <v>28</v>
      </c>
      <c r="R75" s="2" t="s">
        <v>50</v>
      </c>
      <c r="S75" s="4">
        <v>68.25</v>
      </c>
    </row>
    <row r="76" ht="15.75" customHeight="1">
      <c r="A76" s="2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>
        <v>60.0</v>
      </c>
      <c r="O76" s="4">
        <v>0.44</v>
      </c>
      <c r="P76" s="4">
        <v>0.68</v>
      </c>
      <c r="Q76" s="2" t="s">
        <v>79</v>
      </c>
      <c r="R76" s="2" t="s">
        <v>29</v>
      </c>
      <c r="S76" s="4">
        <v>58.0</v>
      </c>
    </row>
    <row r="77" ht="15.75" customHeight="1">
      <c r="A77" s="2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>
        <v>63.0</v>
      </c>
      <c r="O77" s="4">
        <v>0.91</v>
      </c>
      <c r="P77" s="4">
        <v>0.81</v>
      </c>
      <c r="Q77" s="2" t="s">
        <v>79</v>
      </c>
      <c r="R77" s="2" t="s">
        <v>29</v>
      </c>
      <c r="S77" s="4">
        <v>74.5</v>
      </c>
    </row>
    <row r="78" ht="15.75" customHeight="1">
      <c r="A78" s="2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>
        <v>68.0</v>
      </c>
      <c r="O78" s="4">
        <v>0.73</v>
      </c>
      <c r="P78" s="4">
        <v>0.88</v>
      </c>
      <c r="Q78" s="2" t="s">
        <v>79</v>
      </c>
      <c r="R78" s="2" t="s">
        <v>50</v>
      </c>
      <c r="S78" s="4">
        <v>74.25</v>
      </c>
    </row>
    <row r="79" ht="15.75" customHeight="1">
      <c r="A79" s="2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>
        <v>73.0</v>
      </c>
      <c r="O79" s="4">
        <v>0.77</v>
      </c>
      <c r="P79" s="4">
        <v>0.38</v>
      </c>
      <c r="Q79" s="2" t="s">
        <v>28</v>
      </c>
      <c r="R79" s="2" t="s">
        <v>81</v>
      </c>
      <c r="S79" s="4">
        <v>65.25</v>
      </c>
    </row>
    <row r="80" ht="15.75" customHeight="1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>
        <v>88.0</v>
      </c>
      <c r="O80" s="4">
        <v>0.73</v>
      </c>
      <c r="P80" s="4">
        <v>0.81</v>
      </c>
      <c r="Q80" s="2" t="s">
        <v>38</v>
      </c>
      <c r="R80" s="2" t="s">
        <v>50</v>
      </c>
      <c r="S80" s="4">
        <v>82.5</v>
      </c>
    </row>
    <row r="81" ht="15.75" customHeight="1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>
        <v>81.0</v>
      </c>
      <c r="O81" s="4">
        <v>0.41</v>
      </c>
      <c r="P81" s="4">
        <v>0.78</v>
      </c>
      <c r="Q81" s="2" t="s">
        <v>28</v>
      </c>
      <c r="R81" s="2" t="s">
        <v>50</v>
      </c>
      <c r="S81" s="4">
        <v>70.25</v>
      </c>
    </row>
    <row r="82" ht="15.75" customHeight="1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>
        <v>37.0</v>
      </c>
      <c r="O82" s="4">
        <v>0.38</v>
      </c>
      <c r="P82" s="4">
        <v>0.53</v>
      </c>
      <c r="Q82" s="2" t="s">
        <v>79</v>
      </c>
      <c r="R82" s="2" t="s">
        <v>29</v>
      </c>
      <c r="S82" s="4">
        <v>41.25</v>
      </c>
    </row>
    <row r="83" ht="15.75" customHeight="1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>
        <v>35.0</v>
      </c>
      <c r="O83" s="4">
        <v>0.53</v>
      </c>
      <c r="P83" s="4">
        <v>0.99</v>
      </c>
      <c r="Q83" s="2" t="s">
        <v>79</v>
      </c>
      <c r="R83" s="2" t="s">
        <v>29</v>
      </c>
      <c r="S83" s="4">
        <v>55.5</v>
      </c>
    </row>
    <row r="84" ht="15.75" customHeight="1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>
        <v>57.0</v>
      </c>
      <c r="O84" s="4">
        <v>0.52</v>
      </c>
      <c r="P84" s="4">
        <v>0.39</v>
      </c>
      <c r="Q84" s="2" t="s">
        <v>28</v>
      </c>
      <c r="R84" s="2" t="s">
        <v>29</v>
      </c>
      <c r="S84" s="4">
        <v>51.25</v>
      </c>
    </row>
    <row r="85" ht="15.75" customHeight="1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>
        <v>40.0</v>
      </c>
      <c r="O85" s="4">
        <v>0.82</v>
      </c>
      <c r="P85" s="4">
        <v>0.94</v>
      </c>
      <c r="Q85" s="2" t="s">
        <v>38</v>
      </c>
      <c r="R85" s="2" t="s">
        <v>29</v>
      </c>
      <c r="S85" s="4">
        <v>64.0</v>
      </c>
    </row>
    <row r="86" ht="15.75" customHeight="1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>
        <v>91.0</v>
      </c>
      <c r="O86" s="4">
        <v>0.4</v>
      </c>
      <c r="P86" s="4">
        <v>0.36</v>
      </c>
      <c r="Q86" s="2" t="s">
        <v>28</v>
      </c>
      <c r="R86" s="2" t="s">
        <v>29</v>
      </c>
      <c r="S86" s="4">
        <v>64.5</v>
      </c>
    </row>
    <row r="87" ht="15.75" customHeight="1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>
        <v>47.0</v>
      </c>
      <c r="O87" s="4">
        <v>0.87</v>
      </c>
      <c r="P87" s="4">
        <v>0.38</v>
      </c>
      <c r="Q87" s="2" t="s">
        <v>38</v>
      </c>
      <c r="R87" s="2" t="s">
        <v>29</v>
      </c>
      <c r="S87" s="4">
        <v>54.75</v>
      </c>
    </row>
    <row r="88" ht="15.75" customHeight="1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>
        <v>75.0</v>
      </c>
      <c r="O88" s="4">
        <v>0.63</v>
      </c>
      <c r="P88" s="4">
        <v>0.77</v>
      </c>
      <c r="Q88" s="2" t="s">
        <v>28</v>
      </c>
      <c r="R88" s="2" t="s">
        <v>29</v>
      </c>
      <c r="S88" s="4">
        <v>72.5</v>
      </c>
    </row>
    <row r="89" ht="15.75" customHeight="1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>
        <v>51.0</v>
      </c>
      <c r="O89" s="4">
        <v>0.71</v>
      </c>
      <c r="P89" s="4">
        <v>0.71</v>
      </c>
      <c r="Q89" s="2" t="s">
        <v>28</v>
      </c>
      <c r="R89" s="2" t="s">
        <v>50</v>
      </c>
      <c r="S89" s="4">
        <v>61.0</v>
      </c>
    </row>
    <row r="90" ht="15.75" customHeight="1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>
        <v>48.0</v>
      </c>
      <c r="O90" s="4">
        <v>0.73</v>
      </c>
      <c r="P90" s="4">
        <v>0.45</v>
      </c>
      <c r="Q90" s="2" t="s">
        <v>38</v>
      </c>
      <c r="R90" s="2" t="s">
        <v>29</v>
      </c>
      <c r="S90" s="4">
        <v>53.5</v>
      </c>
    </row>
    <row r="91" ht="15.75" customHeight="1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>
        <v>38.0</v>
      </c>
      <c r="O91" s="4">
        <v>0.75</v>
      </c>
      <c r="P91" s="4">
        <v>0.76</v>
      </c>
      <c r="Q91" s="2" t="s">
        <v>38</v>
      </c>
      <c r="R91" s="2" t="s">
        <v>29</v>
      </c>
      <c r="S91" s="4">
        <v>56.75</v>
      </c>
    </row>
    <row r="92" ht="15.75" customHeight="1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>
        <v>86.0</v>
      </c>
      <c r="O92" s="4">
        <v>0.4</v>
      </c>
      <c r="P92" s="4">
        <v>0.82</v>
      </c>
      <c r="Q92" s="2" t="s">
        <v>79</v>
      </c>
      <c r="R92" s="2" t="s">
        <v>81</v>
      </c>
      <c r="S92" s="4">
        <v>73.5</v>
      </c>
    </row>
    <row r="93" ht="15.75" customHeight="1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>
        <v>45.0</v>
      </c>
      <c r="O93" s="4">
        <v>0.92</v>
      </c>
      <c r="P93" s="4">
        <v>0.41</v>
      </c>
      <c r="Q93" s="2" t="s">
        <v>38</v>
      </c>
      <c r="R93" s="2" t="s">
        <v>29</v>
      </c>
      <c r="S93" s="4">
        <v>55.75</v>
      </c>
    </row>
    <row r="94" ht="15.75" customHeight="1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>
        <v>100.0</v>
      </c>
      <c r="O94" s="4">
        <v>0.42</v>
      </c>
      <c r="P94" s="4">
        <v>0.6</v>
      </c>
      <c r="Q94" s="2" t="s">
        <v>28</v>
      </c>
      <c r="R94" s="2" t="s">
        <v>50</v>
      </c>
      <c r="S94" s="4">
        <v>75.5</v>
      </c>
    </row>
    <row r="95" ht="15.75" customHeight="1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>
        <v>52.0</v>
      </c>
      <c r="O95" s="4">
        <v>0.85</v>
      </c>
      <c r="P95" s="4">
        <v>0.5</v>
      </c>
      <c r="Q95" s="2" t="s">
        <v>28</v>
      </c>
      <c r="R95" s="2" t="s">
        <v>50</v>
      </c>
      <c r="S95" s="4">
        <v>59.75</v>
      </c>
    </row>
    <row r="96" ht="15.75" customHeight="1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>
        <v>80.0</v>
      </c>
      <c r="O96" s="4">
        <v>0.4</v>
      </c>
      <c r="P96" s="4">
        <v>0.9</v>
      </c>
      <c r="Q96" s="2" t="s">
        <v>28</v>
      </c>
      <c r="R96" s="2" t="s">
        <v>81</v>
      </c>
      <c r="S96" s="4">
        <v>72.5</v>
      </c>
    </row>
    <row r="97" ht="15.75" customHeight="1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>
        <v>37.0</v>
      </c>
      <c r="O97" s="4">
        <v>0.98</v>
      </c>
      <c r="P97" s="4">
        <v>0.42</v>
      </c>
      <c r="Q97" s="2" t="s">
        <v>79</v>
      </c>
      <c r="R97" s="2" t="s">
        <v>29</v>
      </c>
      <c r="S97" s="4">
        <v>53.5</v>
      </c>
    </row>
    <row r="98" ht="15.75" customHeight="1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>
        <v>85.0</v>
      </c>
      <c r="O98" s="4">
        <v>0.92</v>
      </c>
      <c r="P98" s="4">
        <v>0.82</v>
      </c>
      <c r="Q98" s="2" t="s">
        <v>28</v>
      </c>
      <c r="R98" s="2" t="s">
        <v>29</v>
      </c>
      <c r="S98" s="4">
        <v>86.0</v>
      </c>
    </row>
    <row r="99" ht="15.75" customHeight="1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>
        <v>53.0</v>
      </c>
      <c r="O99" s="4">
        <v>0.5</v>
      </c>
      <c r="P99" s="4">
        <v>0.4</v>
      </c>
      <c r="Q99" s="2" t="s">
        <v>28</v>
      </c>
      <c r="R99" s="2" t="s">
        <v>50</v>
      </c>
      <c r="S99" s="4">
        <v>49.0</v>
      </c>
    </row>
    <row r="100" ht="15.75" customHeight="1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>
        <v>76.0</v>
      </c>
      <c r="O100" s="4">
        <v>0.91</v>
      </c>
      <c r="P100" s="4">
        <v>0.74</v>
      </c>
      <c r="Q100" s="2" t="s">
        <v>28</v>
      </c>
      <c r="R100" s="2" t="s">
        <v>81</v>
      </c>
      <c r="S100" s="4">
        <v>79.25</v>
      </c>
    </row>
    <row r="101" ht="15.75" customHeight="1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>
        <v>94.0</v>
      </c>
      <c r="O101" s="4">
        <v>0.64</v>
      </c>
      <c r="P101" s="4">
        <v>0.34</v>
      </c>
      <c r="Q101" s="2" t="s">
        <v>38</v>
      </c>
      <c r="R101" s="2" t="s">
        <v>29</v>
      </c>
      <c r="S101" s="4">
        <v>71.5</v>
      </c>
    </row>
    <row r="102" ht="15.75" customHeight="1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>
        <v>76.0</v>
      </c>
      <c r="O102" s="4">
        <v>0.74</v>
      </c>
      <c r="P102" s="4">
        <v>0.65</v>
      </c>
      <c r="Q102" s="2" t="s">
        <v>79</v>
      </c>
      <c r="R102" s="2" t="s">
        <v>50</v>
      </c>
      <c r="S102" s="4">
        <v>72.75</v>
      </c>
    </row>
    <row r="103" ht="15.75" customHeight="1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>
        <v>91.0</v>
      </c>
      <c r="O103" s="4">
        <v>0.69</v>
      </c>
      <c r="P103" s="4">
        <v>0.73</v>
      </c>
      <c r="Q103" s="2" t="s">
        <v>28</v>
      </c>
      <c r="R103" s="2" t="s">
        <v>81</v>
      </c>
      <c r="S103" s="4">
        <v>81.0</v>
      </c>
    </row>
    <row r="104" ht="15.75" customHeight="1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>
        <v>84.0</v>
      </c>
      <c r="O104" s="4">
        <v>0.53</v>
      </c>
      <c r="P104" s="4">
        <v>0.81</v>
      </c>
      <c r="Q104" s="2" t="s">
        <v>38</v>
      </c>
      <c r="R104" s="2" t="s">
        <v>29</v>
      </c>
      <c r="S104" s="4">
        <v>75.5</v>
      </c>
    </row>
    <row r="105" ht="15.75" customHeight="1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>
        <v>74.0</v>
      </c>
      <c r="O105" s="4">
        <v>0.71</v>
      </c>
      <c r="P105" s="4">
        <v>0.75</v>
      </c>
      <c r="Q105" s="2" t="s">
        <v>28</v>
      </c>
      <c r="R105" s="2" t="s">
        <v>29</v>
      </c>
      <c r="S105" s="4">
        <v>73.5</v>
      </c>
    </row>
    <row r="106" ht="15.75" customHeight="1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>
        <v>78.0</v>
      </c>
      <c r="O106" s="4">
        <v>0.97</v>
      </c>
      <c r="P106" s="4">
        <v>0.64</v>
      </c>
      <c r="Q106" s="2" t="s">
        <v>28</v>
      </c>
      <c r="R106" s="2" t="s">
        <v>29</v>
      </c>
      <c r="S106" s="4">
        <v>79.25</v>
      </c>
    </row>
    <row r="107" ht="15.75" customHeight="1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>
        <v>83.0</v>
      </c>
      <c r="O107" s="4">
        <v>0.45</v>
      </c>
      <c r="P107" s="4">
        <v>0.43</v>
      </c>
      <c r="Q107" s="2" t="s">
        <v>38</v>
      </c>
      <c r="R107" s="2" t="s">
        <v>29</v>
      </c>
      <c r="S107" s="4">
        <v>63.5</v>
      </c>
    </row>
    <row r="108" ht="15.75" customHeight="1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>
        <v>92.0</v>
      </c>
      <c r="O108" s="4">
        <v>0.5</v>
      </c>
      <c r="P108" s="4">
        <v>0.47</v>
      </c>
      <c r="Q108" s="2" t="s">
        <v>79</v>
      </c>
      <c r="R108" s="2" t="s">
        <v>50</v>
      </c>
      <c r="S108" s="4">
        <v>70.25</v>
      </c>
    </row>
    <row r="109" ht="15.75" customHeight="1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>
        <v>60.0</v>
      </c>
      <c r="O109" s="4">
        <v>0.87</v>
      </c>
      <c r="P109" s="4">
        <v>0.4</v>
      </c>
      <c r="Q109" s="2" t="s">
        <v>28</v>
      </c>
      <c r="R109" s="2" t="s">
        <v>29</v>
      </c>
      <c r="S109" s="4">
        <v>61.75</v>
      </c>
    </row>
    <row r="110" ht="15.75" customHeight="1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>
        <v>100.0</v>
      </c>
      <c r="O110" s="4">
        <v>0.45</v>
      </c>
      <c r="P110" s="4">
        <v>0.61</v>
      </c>
      <c r="Q110" s="2" t="s">
        <v>79</v>
      </c>
      <c r="R110" s="2" t="s">
        <v>50</v>
      </c>
      <c r="S110" s="4">
        <v>76.5</v>
      </c>
    </row>
    <row r="111" ht="15.75" customHeight="1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>
        <v>45.0</v>
      </c>
      <c r="O111" s="4">
        <v>0.59</v>
      </c>
      <c r="P111" s="4">
        <v>0.32</v>
      </c>
      <c r="Q111" s="2" t="s">
        <v>79</v>
      </c>
      <c r="R111" s="2" t="s">
        <v>29</v>
      </c>
      <c r="S111" s="4">
        <v>45.25</v>
      </c>
    </row>
    <row r="112" ht="15.75" customHeight="1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>
        <v>45.0</v>
      </c>
      <c r="O112" s="4">
        <v>0.36</v>
      </c>
      <c r="P112" s="4">
        <v>0.45</v>
      </c>
      <c r="Q112" s="2" t="s">
        <v>28</v>
      </c>
      <c r="R112" s="2" t="s">
        <v>29</v>
      </c>
      <c r="S112" s="4">
        <v>42.75</v>
      </c>
    </row>
    <row r="113" ht="15.75" customHeight="1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>
        <v>93.0</v>
      </c>
      <c r="O113" s="4">
        <v>0.39</v>
      </c>
      <c r="P113" s="4">
        <v>0.89</v>
      </c>
      <c r="Q113" s="2" t="s">
        <v>28</v>
      </c>
      <c r="R113" s="2" t="s">
        <v>50</v>
      </c>
      <c r="S113" s="4">
        <v>78.5</v>
      </c>
    </row>
    <row r="114" ht="15.75" customHeight="1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>
        <v>88.0</v>
      </c>
      <c r="O114" s="4">
        <v>0.47</v>
      </c>
      <c r="P114" s="4">
        <v>0.77</v>
      </c>
      <c r="Q114" s="2" t="s">
        <v>28</v>
      </c>
      <c r="R114" s="2" t="s">
        <v>50</v>
      </c>
      <c r="S114" s="4">
        <v>75.0</v>
      </c>
    </row>
    <row r="115" ht="15.75" customHeight="1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>
        <v>37.0</v>
      </c>
      <c r="O115" s="4">
        <v>0.58</v>
      </c>
      <c r="P115" s="4">
        <v>0.35</v>
      </c>
      <c r="Q115" s="2" t="s">
        <v>28</v>
      </c>
      <c r="R115" s="2" t="s">
        <v>29</v>
      </c>
      <c r="S115" s="4">
        <v>41.75</v>
      </c>
    </row>
    <row r="116" ht="15.75" customHeight="1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>
        <v>96.0</v>
      </c>
      <c r="O116" s="4">
        <v>0.76</v>
      </c>
      <c r="P116" s="4">
        <v>0.87</v>
      </c>
      <c r="Q116" s="2" t="s">
        <v>28</v>
      </c>
      <c r="R116" s="2" t="s">
        <v>50</v>
      </c>
      <c r="S116" s="4">
        <v>88.75</v>
      </c>
    </row>
    <row r="117" ht="15.75" customHeight="1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>
        <v>95.0</v>
      </c>
      <c r="O117" s="4">
        <v>0.51</v>
      </c>
      <c r="P117" s="4">
        <v>0.83</v>
      </c>
      <c r="Q117" s="2" t="s">
        <v>28</v>
      </c>
      <c r="R117" s="2" t="s">
        <v>50</v>
      </c>
      <c r="S117" s="4">
        <v>81.0</v>
      </c>
    </row>
    <row r="118" ht="15.75" customHeight="1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>
        <v>84.0</v>
      </c>
      <c r="O118" s="4">
        <v>0.57</v>
      </c>
      <c r="P118" s="4">
        <v>0.43</v>
      </c>
      <c r="Q118" s="2" t="s">
        <v>38</v>
      </c>
      <c r="R118" s="2" t="s">
        <v>81</v>
      </c>
      <c r="S118" s="4">
        <v>67.0</v>
      </c>
    </row>
    <row r="119" ht="15.75" customHeight="1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>
        <v>45.0</v>
      </c>
      <c r="O119" s="4">
        <v>0.56</v>
      </c>
      <c r="P119" s="4">
        <v>0.51</v>
      </c>
      <c r="Q119" s="2" t="s">
        <v>28</v>
      </c>
      <c r="R119" s="2" t="s">
        <v>29</v>
      </c>
      <c r="S119" s="4">
        <v>49.25</v>
      </c>
    </row>
    <row r="120" ht="15.75" customHeight="1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>
        <v>42.0</v>
      </c>
      <c r="O120" s="4">
        <v>0.4</v>
      </c>
      <c r="P120" s="4">
        <v>0.75</v>
      </c>
      <c r="Q120" s="2" t="s">
        <v>28</v>
      </c>
      <c r="R120" s="2" t="s">
        <v>29</v>
      </c>
      <c r="S120" s="4">
        <v>49.75</v>
      </c>
    </row>
    <row r="121" ht="15.75" customHeight="1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>
        <v>84.0</v>
      </c>
      <c r="O121" s="4">
        <v>0.97</v>
      </c>
      <c r="P121" s="4">
        <v>0.32</v>
      </c>
      <c r="Q121" s="2" t="s">
        <v>28</v>
      </c>
      <c r="R121" s="2" t="s">
        <v>50</v>
      </c>
      <c r="S121" s="4">
        <v>74.25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6.75"/>
    <col customWidth="1" min="2" max="2" width="11.88"/>
    <col customWidth="1" min="3" max="3" width="8.63"/>
    <col customWidth="1" min="4" max="4" width="17.75"/>
    <col customWidth="1" min="5" max="5" width="12.88"/>
    <col customWidth="1" min="6" max="6" width="8.63"/>
    <col customWidth="1" min="7" max="7" width="19.5"/>
    <col customWidth="1" min="8" max="8" width="9.5"/>
    <col customWidth="1" min="9" max="26" width="8.63"/>
  </cols>
  <sheetData>
    <row r="1">
      <c r="A1" s="5" t="s">
        <v>98</v>
      </c>
    </row>
    <row r="2">
      <c r="A2" s="6" t="s">
        <v>99</v>
      </c>
    </row>
    <row r="4">
      <c r="A4" s="7" t="s">
        <v>100</v>
      </c>
      <c r="B4" s="7" t="s">
        <v>101</v>
      </c>
      <c r="D4" s="7" t="s">
        <v>102</v>
      </c>
      <c r="E4" s="7" t="s">
        <v>103</v>
      </c>
      <c r="G4" s="7" t="s">
        <v>104</v>
      </c>
      <c r="H4" s="7" t="s">
        <v>103</v>
      </c>
    </row>
    <row r="5">
      <c r="A5" s="8" t="s">
        <v>105</v>
      </c>
      <c r="B5" s="9">
        <f>COUNTA(Base_Dados!A2:A121)</f>
        <v>30</v>
      </c>
      <c r="D5" s="8" t="s">
        <v>81</v>
      </c>
      <c r="E5" s="8">
        <f>COUNTIF(Base_Dados!R2:R121,D5)</f>
        <v>10</v>
      </c>
      <c r="G5" s="8" t="s">
        <v>28</v>
      </c>
      <c r="H5" s="8">
        <f>COUNTIF(Base_Dados!Q2:Q121,G5)</f>
        <v>64</v>
      </c>
    </row>
    <row r="6">
      <c r="A6" s="8" t="s">
        <v>106</v>
      </c>
      <c r="B6" s="9">
        <f>AVERAGE(Base_Dados!N2:N121)</f>
        <v>68.425</v>
      </c>
      <c r="D6" s="8" t="s">
        <v>50</v>
      </c>
      <c r="E6" s="8">
        <f>COUNTIF(Base_Dados!R2:R121,D6)</f>
        <v>49</v>
      </c>
      <c r="G6" s="8" t="s">
        <v>38</v>
      </c>
      <c r="H6" s="8">
        <f>COUNTIF(Base_Dados!Q2:Q121,G6)</f>
        <v>39</v>
      </c>
    </row>
    <row r="7">
      <c r="A7" s="8" t="s">
        <v>107</v>
      </c>
      <c r="B7" s="9">
        <f>AVERAGE(Base_Dados!O2:O121)*100</f>
        <v>65.54166667</v>
      </c>
      <c r="D7" s="8" t="s">
        <v>29</v>
      </c>
      <c r="E7" s="8">
        <f>COUNTIF(Base_Dados!R2:R121,D7)</f>
        <v>61</v>
      </c>
      <c r="G7" s="8" t="s">
        <v>79</v>
      </c>
      <c r="H7" s="8">
        <f>COUNTIF(Base_Dados!Q2:Q121,G7)</f>
        <v>17</v>
      </c>
    </row>
    <row r="8">
      <c r="A8" s="8" t="s">
        <v>108</v>
      </c>
      <c r="B8" s="9">
        <f>AVERAGE(Base_Dados!P2:P121)*100</f>
        <v>63.125</v>
      </c>
    </row>
    <row r="9">
      <c r="A9" s="8" t="s">
        <v>109</v>
      </c>
      <c r="B9" s="9">
        <f>AVERAGE(Base_Dados!L2:L121)</f>
        <v>68.53333333</v>
      </c>
    </row>
    <row r="10">
      <c r="A10" s="8" t="s">
        <v>110</v>
      </c>
      <c r="B10" s="9">
        <f>AVERAGE(Base_Dados!S2:S121)</f>
        <v>66.37916667</v>
      </c>
      <c r="D10" s="7" t="s">
        <v>111</v>
      </c>
      <c r="E10" s="7" t="s">
        <v>112</v>
      </c>
      <c r="G10" s="7" t="s">
        <v>5</v>
      </c>
      <c r="H10" s="7" t="s">
        <v>113</v>
      </c>
    </row>
    <row r="11">
      <c r="A11" s="8" t="s">
        <v>114</v>
      </c>
      <c r="B11" s="8">
        <f>COUNTIF(Base_Dados!Q2:Q121,"Positivo")</f>
        <v>64</v>
      </c>
      <c r="D11" s="8" t="s">
        <v>42</v>
      </c>
      <c r="E11" s="9">
        <f>AVERAGEIF(Base_Dados!J2:J121,D11,Base_Dados!S2:S121)</f>
        <v>65.30555556</v>
      </c>
      <c r="G11" s="8" t="s">
        <v>22</v>
      </c>
      <c r="H11" s="8">
        <f>COUNTIF(Base_Dados!F2:F121,G11)</f>
        <v>16</v>
      </c>
    </row>
    <row r="12">
      <c r="D12" s="8" t="s">
        <v>26</v>
      </c>
      <c r="E12" s="9">
        <f>AVERAGEIF(Base_Dados!J2:J121,D12,Base_Dados!S2:S121)</f>
        <v>59</v>
      </c>
      <c r="G12" s="8" t="s">
        <v>32</v>
      </c>
      <c r="H12" s="8">
        <f>COUNTIF(Base_Dados!F2:F121,G12)</f>
        <v>14</v>
      </c>
    </row>
    <row r="13">
      <c r="D13" s="8" t="s">
        <v>36</v>
      </c>
      <c r="E13" s="9">
        <f>AVERAGEIF(Base_Dados!J2:J121,D13,Base_Dados!S2:S121)</f>
        <v>66.5</v>
      </c>
    </row>
    <row r="14">
      <c r="A14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14:H1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58.88"/>
    <col customWidth="1" min="3" max="26" width="8.63"/>
  </cols>
  <sheetData>
    <row r="1">
      <c r="A1" s="11" t="s">
        <v>115</v>
      </c>
      <c r="B1" s="11" t="s">
        <v>116</v>
      </c>
    </row>
    <row r="2">
      <c r="A2" s="8" t="s">
        <v>0</v>
      </c>
      <c r="B2" s="8" t="s">
        <v>117</v>
      </c>
    </row>
    <row r="3">
      <c r="A3" s="8" t="s">
        <v>1</v>
      </c>
      <c r="B3" s="8" t="s">
        <v>118</v>
      </c>
    </row>
    <row r="4">
      <c r="A4" s="8" t="s">
        <v>2</v>
      </c>
      <c r="B4" s="8" t="s">
        <v>119</v>
      </c>
    </row>
    <row r="5">
      <c r="A5" s="8" t="s">
        <v>3</v>
      </c>
      <c r="B5" s="8" t="s">
        <v>120</v>
      </c>
    </row>
    <row r="6">
      <c r="A6" s="8" t="s">
        <v>4</v>
      </c>
      <c r="B6" s="8" t="s">
        <v>121</v>
      </c>
    </row>
    <row r="7">
      <c r="A7" s="8" t="s">
        <v>5</v>
      </c>
      <c r="B7" s="8" t="s">
        <v>122</v>
      </c>
    </row>
    <row r="8">
      <c r="A8" s="8" t="s">
        <v>6</v>
      </c>
      <c r="B8" s="8" t="s">
        <v>123</v>
      </c>
    </row>
    <row r="9">
      <c r="A9" s="8" t="s">
        <v>7</v>
      </c>
      <c r="B9" s="8" t="s">
        <v>124</v>
      </c>
    </row>
    <row r="10">
      <c r="A10" s="8" t="s">
        <v>8</v>
      </c>
      <c r="B10" s="8" t="s">
        <v>125</v>
      </c>
    </row>
    <row r="11">
      <c r="A11" s="8" t="s">
        <v>9</v>
      </c>
      <c r="B11" s="8" t="s">
        <v>126</v>
      </c>
    </row>
    <row r="12">
      <c r="A12" s="8" t="s">
        <v>10</v>
      </c>
      <c r="B12" s="8" t="s">
        <v>127</v>
      </c>
    </row>
    <row r="13">
      <c r="A13" s="8" t="s">
        <v>11</v>
      </c>
      <c r="B13" s="8" t="s">
        <v>128</v>
      </c>
    </row>
    <row r="14">
      <c r="A14" s="8" t="s">
        <v>12</v>
      </c>
      <c r="B14" s="8" t="s">
        <v>129</v>
      </c>
    </row>
    <row r="15">
      <c r="A15" s="8" t="s">
        <v>13</v>
      </c>
      <c r="B15" s="8" t="s">
        <v>130</v>
      </c>
    </row>
    <row r="16">
      <c r="A16" s="8" t="s">
        <v>14</v>
      </c>
      <c r="B16" s="8" t="s">
        <v>131</v>
      </c>
    </row>
    <row r="17">
      <c r="A17" s="8" t="s">
        <v>15</v>
      </c>
      <c r="B17" s="8" t="s">
        <v>132</v>
      </c>
    </row>
    <row r="18">
      <c r="A18" s="8" t="s">
        <v>16</v>
      </c>
      <c r="B18" s="8" t="s">
        <v>133</v>
      </c>
    </row>
    <row r="19">
      <c r="A19" s="8" t="s">
        <v>17</v>
      </c>
      <c r="B19" s="8" t="s">
        <v>134</v>
      </c>
    </row>
    <row r="20">
      <c r="A20" s="8" t="s">
        <v>18</v>
      </c>
      <c r="B20" s="8" t="s">
        <v>135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